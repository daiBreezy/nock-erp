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" sheetId="1" state="visible" r:id="rId1"/>
    <sheet name="ผลเทสทั้งหมด" sheetId="2" state="visible" r:id="rId2"/>
    <sheet name="ยังไม่ได้เทส" sheetId="3" state="visible" r:id="rId3"/>
    <sheet name="ข้อมูลเทสบน Staging" sheetId="4" state="visible" r:id="rId4"/>
  </sheets>
  <definedNames>
    <definedName name="_xlnm._FilterDatabase" localSheetId="1" hidden="1">'ผลเทสทั้งหมด'!$A$1:$J$90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6"/>
    </font>
    <font>
      <name val="Arial"/>
      <color rgb="00666666"/>
      <sz val="10"/>
    </font>
    <font>
      <name val="Arial"/>
      <b val="1"/>
      <sz val="12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4D6"/>
      </patternFill>
    </fill>
    <fill>
      <patternFill patternType="solid">
        <fgColor rgb="0095A5A6"/>
      </patternFill>
    </fill>
    <fill>
      <patternFill patternType="solid">
        <fgColor rgb="00FDE2E1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E6F4EA"/>
      </patternFill>
    </fill>
    <fill>
      <patternFill patternType="solid">
        <fgColor rgb="00EEEEEE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" fillId="2" borderId="1" pivotButton="0" quotePrefix="0" xfId="0"/>
    <xf numFmtId="0" fontId="2" fillId="8" borderId="0" pivotButton="0" quotePrefix="0" xfId="0"/>
    <xf numFmtId="0" fontId="2" fillId="0" borderId="1" applyAlignment="1" pivotButton="0" quotePrefix="0" xfId="0">
      <alignment vertical="top" wrapText="1"/>
    </xf>
    <xf numFmtId="0" fontId="1" fillId="10" borderId="1" applyAlignment="1" pivotButton="0" quotePrefix="0" xfId="0">
      <alignment vertical="top" wrapText="1"/>
    </xf>
    <xf numFmtId="0" fontId="2" fillId="3" borderId="0" pivotButton="0" quotePrefix="0" xfId="0"/>
    <xf numFmtId="0" fontId="2" fillId="5" borderId="0" pivotButton="0" quotePrefix="0" xfId="0"/>
    <xf numFmtId="0" fontId="2" fillId="9" borderId="0" pivotButton="0" quotePrefix="0" xfId="0"/>
    <xf numFmtId="0" fontId="1" fillId="7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40" customWidth="1" min="4" max="4"/>
    <col width="14" customWidth="1" min="5" max="5"/>
    <col width="22" customWidth="1" min="6" max="6"/>
    <col width="50" customWidth="1" min="7" max="7"/>
  </cols>
  <sheetData>
    <row r="1">
      <c r="A1" s="1" t="inlineStr">
        <is>
          <t>NockERP Staging — สรุปผลเทส</t>
        </is>
      </c>
    </row>
    <row r="2">
      <c r="A2" s="2" t="inlineStr">
        <is>
          <t>ผู้ทดสอบ: Claude (บัญชี Director + Teacher) · ข้อมูลเทสอยู่ใน TEST-Branch · 23–24 ก.ย. 2026</t>
        </is>
      </c>
    </row>
    <row r="4">
      <c r="A4" s="3" t="inlineStr">
        <is>
          <t>ภาพรวม</t>
        </is>
      </c>
      <c r="D4" s="3" t="inlineStr">
        <is>
          <t>ควรแก้ก่อน (Critical + High ที่ต้องแก้)</t>
        </is>
      </c>
    </row>
    <row r="5">
      <c r="A5" s="4" t="inlineStr">
        <is>
          <t>ทั้งหมด</t>
        </is>
      </c>
      <c r="B5" s="5">
        <f>COUNTA('ผลเทสทั้งหมด'!A2:A90)</f>
        <v/>
      </c>
      <c r="C5" s="6" t="inlineStr">
        <is>
          <t>รหัส</t>
        </is>
      </c>
      <c r="D5" s="6" t="inlineStr">
        <is>
          <t>สิ่งที่เทส</t>
        </is>
      </c>
      <c r="E5" s="6" t="inlineStr">
        <is>
          <t>ความรุนแรง</t>
        </is>
      </c>
      <c r="F5" s="6" t="inlineStr">
        <is>
          <t>ต้องทำ</t>
        </is>
      </c>
      <c r="G5" s="6" t="inlineStr">
        <is>
          <t>ข้อแนะนำ</t>
        </is>
      </c>
    </row>
    <row r="6">
      <c r="A6" s="7" t="inlineStr">
        <is>
          <t>✅ ผ่าน</t>
        </is>
      </c>
      <c r="B6" s="5">
        <f>COUNTIF('ผลเทสทั้งหมด'!E2:E90,"✅ ผ่าน")</f>
        <v/>
      </c>
      <c r="C6" s="8" t="inlineStr">
        <is>
          <t>A8</t>
        </is>
      </c>
      <c r="D6" s="8" t="inlineStr">
        <is>
          <t>Edit class: เปลี่ยนเวลา/วัน</t>
        </is>
      </c>
      <c r="E6" s="9" t="inlineStr">
        <is>
          <t>Critical</t>
        </is>
      </c>
      <c r="F6" s="8" t="inlineStr">
        <is>
          <t>🔧 ต้องแก้</t>
        </is>
      </c>
      <c r="G6" s="8" t="inlineStr">
        <is>
          <t>ห้ามแก้ session ที่ Ended/Closed หรือมีเช็คชื่อแล้ว</t>
        </is>
      </c>
    </row>
    <row r="7">
      <c r="A7" s="10" t="inlineStr">
        <is>
          <t>⚠️ ผ่าน/มีข้อสังเกต</t>
        </is>
      </c>
      <c r="B7" s="5">
        <f>COUNTIF('ผลเทสทั้งหมด'!E2:E90,"⚠️ ผ่าน/มีข้อสังเกต")</f>
        <v/>
      </c>
      <c r="C7" s="8" t="inlineStr">
        <is>
          <t>B3</t>
        </is>
      </c>
      <c r="D7" s="8" t="inlineStr">
        <is>
          <t>Edit session เฉพาะครั้ง (เปลี่ยนเวลา)</t>
        </is>
      </c>
      <c r="E7" s="9" t="inlineStr">
        <is>
          <t>Critical</t>
        </is>
      </c>
      <c r="F7" s="8" t="inlineStr">
        <is>
          <t>🔧 ต้องแก้</t>
        </is>
      </c>
      <c r="G7" s="8" t="inlineStr">
        <is>
          <t>Just this session ต้องแก้ record เดิม ไม่ใช่สร้างใหม่ · ลบ session ซ้ำที่เกิดแล้ว</t>
        </is>
      </c>
    </row>
    <row r="8">
      <c r="A8" s="11" t="inlineStr">
        <is>
          <t>🔴 บั๊ก</t>
        </is>
      </c>
      <c r="B8" s="5">
        <f>COUNTIF('ผลเทสทั้งหมด'!E2:E90,"🔴 บั๊ก")</f>
        <v/>
      </c>
      <c r="C8" s="8" t="inlineStr">
        <is>
          <t>C2</t>
        </is>
      </c>
      <c r="D8" s="8" t="inlineStr">
        <is>
          <t>เช็คชื่อ session อนาคต</t>
        </is>
      </c>
      <c r="E8" s="9" t="inlineStr">
        <is>
          <t>Critical</t>
        </is>
      </c>
      <c r="F8" s="8" t="inlineStr">
        <is>
          <t>🔧 ต้องแก้</t>
        </is>
      </c>
      <c r="G8" s="8" t="inlineStr">
        <is>
          <t>ห้ามเช็คชื่อก่อนวันเรียน (ยกเว้น Leave ล่วงหน้า ที่ไม่เปลี่ยนสถานะ session)</t>
        </is>
      </c>
    </row>
    <row r="9">
      <c r="A9" s="12" t="inlineStr">
        <is>
          <t>⬜ ยังไม่เทส</t>
        </is>
      </c>
      <c r="B9" s="5">
        <f>COUNTIF('ผลเทสทั้งหมด'!E2:E90,"⬜ ยังไม่เทส")</f>
        <v/>
      </c>
      <c r="C9" s="8" t="inlineStr">
        <is>
          <t>F1</t>
        </is>
      </c>
      <c r="D9" s="8" t="inlineStr">
        <is>
          <t>Remove student จากคลาส</t>
        </is>
      </c>
      <c r="E9" s="9" t="inlineStr">
        <is>
          <t>Critical</t>
        </is>
      </c>
      <c r="F9" s="8" t="inlineStr">
        <is>
          <t>🔧 ต้องแก้</t>
        </is>
      </c>
      <c r="G9" s="8" t="inlineStr">
        <is>
          <t>ทำใน transaction เดียว: ลบจากคลาส + session อนาคต · ข้อความ error ภาษาคน</t>
        </is>
      </c>
    </row>
    <row r="10">
      <c r="A10" s="4" t="inlineStr"/>
      <c r="B10" s="5" t="inlineStr"/>
      <c r="C10" s="8" t="inlineStr">
        <is>
          <t>G2</t>
        </is>
      </c>
      <c r="D10" s="8" t="inlineStr">
        <is>
          <t>Billing</t>
        </is>
      </c>
      <c r="E10" s="9" t="inlineStr">
        <is>
          <t>Critical</t>
        </is>
      </c>
      <c r="F10" s="8" t="inlineStr">
        <is>
          <t>🔧 ต้องแก้</t>
        </is>
      </c>
      <c r="G10" s="8" t="inlineStr">
        <is>
          <t>ปิด Billing สำหรับ Teacher ทั้ง UI และ API</t>
        </is>
      </c>
    </row>
    <row r="11">
      <c r="A11" s="4" t="inlineStr">
        <is>
          <t>🔧 ต้องแก้</t>
        </is>
      </c>
      <c r="B11" s="5">
        <f>COUNTIF('ผลเทสทั้งหมด'!G2:G90,"🔧 ต้องแก้")</f>
        <v/>
      </c>
      <c r="C11" s="8" t="inlineStr">
        <is>
          <t>G6</t>
        </is>
      </c>
      <c r="D11" s="8" t="inlineStr">
        <is>
          <t>สลับบัญชีเอง (Clerk multi-session)</t>
        </is>
      </c>
      <c r="E11" s="9" t="inlineStr">
        <is>
          <t>Critical</t>
        </is>
      </c>
      <c r="F11" s="8" t="inlineStr">
        <is>
          <t>🔧 ต้องแก้</t>
        </is>
      </c>
      <c r="G11" s="8" t="inlineStr">
        <is>
          <t>ปิด multi-session ของ Clerk หรือบังคับ active session เดียว</t>
        </is>
      </c>
    </row>
    <row r="12">
      <c r="A12" s="4" t="inlineStr">
        <is>
          <t>🔍 ต้องตรวจสอบ</t>
        </is>
      </c>
      <c r="B12" s="5">
        <f>COUNTIF('ผลเทสทั้งหมด'!G2:G90,"🔍 ต้องตรวจสอบ")</f>
        <v/>
      </c>
      <c r="C12" s="8" t="inlineStr">
        <is>
          <t>A11</t>
        </is>
      </c>
      <c r="D12" s="8" t="inlineStr">
        <is>
          <t>Deactivate class</t>
        </is>
      </c>
      <c r="E12" s="13" t="inlineStr">
        <is>
          <t>High</t>
        </is>
      </c>
      <c r="F12" s="8" t="inlineStr">
        <is>
          <t>🔧 ต้องแก้</t>
        </is>
      </c>
      <c r="G12" s="8" t="inlineStr">
        <is>
          <t>confirm + ยกเลิก session อนาคต (หรือถาม) + ตัดออกจากตัวเลือก Reschedule</t>
        </is>
      </c>
    </row>
    <row r="13">
      <c r="A13" s="4" t="inlineStr">
        <is>
          <t>❓ ต้องยืนยัน Business rule</t>
        </is>
      </c>
      <c r="B13" s="5">
        <f>COUNTIF('ผลเทสทั้งหมด'!G2:G90,"❓ ต้องยืนยัน Business rule")</f>
        <v/>
      </c>
      <c r="C13" s="8" t="inlineStr">
        <is>
          <t>A4</t>
        </is>
      </c>
      <c r="D13" s="8" t="inlineStr">
        <is>
          <t>คลาส Single รับคนเกิน</t>
        </is>
      </c>
      <c r="E13" s="13" t="inlineStr">
        <is>
          <t>High</t>
        </is>
      </c>
      <c r="F13" s="8" t="inlineStr">
        <is>
          <t>🔧 ต้องแก้</t>
        </is>
      </c>
      <c r="G13" s="8" t="inlineStr">
        <is>
          <t>บล็อกเมื่อเกินความจุตาม class type (Single=1, Group=6) ทั้ง UI และ server</t>
        </is>
      </c>
    </row>
    <row r="14">
      <c r="A14" s="4" t="inlineStr"/>
      <c r="B14" s="5" t="inlineStr"/>
      <c r="C14" s="8" t="inlineStr">
        <is>
          <t>A5</t>
        </is>
      </c>
      <c r="D14" s="8" t="inlineStr">
        <is>
          <t>ห้องเต็ม (สาขามี 2 ห้อง) → สร้างคลาสที่ 3 เวลาเดียวกัน</t>
        </is>
      </c>
      <c r="E14" s="13" t="inlineStr">
        <is>
          <t>High</t>
        </is>
      </c>
      <c r="F14" s="8" t="inlineStr">
        <is>
          <t>🔧 ต้องแก้</t>
        </is>
      </c>
      <c r="G14" s="8" t="inlineStr">
        <is>
          <t>ห้องเต็ม = บล็อก (หรือต้องมี override + เหตุผล)</t>
        </is>
      </c>
    </row>
    <row r="15">
      <c r="A15" s="4" t="inlineStr">
        <is>
          <t>ความรุนแรง Critical</t>
        </is>
      </c>
      <c r="B15" s="5">
        <f>COUNTIF('ผลเทสทั้งหมด'!F2:F90,"Critical")</f>
        <v/>
      </c>
      <c r="C15" s="8" t="inlineStr">
        <is>
          <t>B5</t>
        </is>
      </c>
      <c r="D15" s="8" t="inlineStr">
        <is>
          <t>สถานะตามเวลา Upcoming→Live→Ended→Closed</t>
        </is>
      </c>
      <c r="E15" s="13" t="inlineStr">
        <is>
          <t>High</t>
        </is>
      </c>
      <c r="F15" s="8" t="inlineStr">
        <is>
          <t>🔧 ต้องแก้</t>
        </is>
      </c>
      <c r="G15" s="8" t="inlineStr">
        <is>
          <t>คำนวณสถานะจากเวลาจริง (timezone Asia/Bangkok) · format เวลาให้คนอ่าน</t>
        </is>
      </c>
    </row>
    <row r="16">
      <c r="A16" s="4" t="inlineStr">
        <is>
          <t>ความรุนแรง High</t>
        </is>
      </c>
      <c r="B16" s="5">
        <f>COUNTIF('ผลเทสทั้งหมด'!F2:F90,"High")</f>
        <v/>
      </c>
      <c r="C16" s="8" t="inlineStr">
        <is>
          <t>BL-14</t>
        </is>
      </c>
      <c r="D16" s="8" t="inlineStr">
        <is>
          <t>Maker–Checker อนุมัติ PDF</t>
        </is>
      </c>
      <c r="E16" s="13" t="inlineStr">
        <is>
          <t>High</t>
        </is>
      </c>
      <c r="F16" s="8" t="inlineStr">
        <is>
          <t>❓ ต้องยืนยัน Business rule</t>
        </is>
      </c>
      <c r="G16" s="8" t="inlineStr">
        <is>
          <t>กำหนดว่า role ไหนอนุมัติได้ (แนะนำ Admin/Manager/Director) แล้วซ่อนปุ่มจาก role อื่น</t>
        </is>
      </c>
    </row>
    <row r="17">
      <c r="A17" s="4" t="inlineStr">
        <is>
          <t>ความรุนแรง Medium</t>
        </is>
      </c>
      <c r="B17" s="5">
        <f>COUNTIF('ผลเทสทั้งหมด'!F2:F90,"Medium")</f>
        <v/>
      </c>
      <c r="C17" s="8" t="inlineStr">
        <is>
          <t>BL-17</t>
        </is>
      </c>
      <c r="D17" s="8" t="inlineStr">
        <is>
          <t>Refund / Credit note</t>
        </is>
      </c>
      <c r="E17" s="13" t="inlineStr">
        <is>
          <t>High</t>
        </is>
      </c>
      <c r="F17" s="8" t="inlineStr">
        <is>
          <t>❓ ต้องยืนยัน Business rule</t>
        </is>
      </c>
      <c r="G17" s="8" t="inlineStr">
        <is>
          <t>ออกแบบ flow คืนเงิน/ลดหนี้ (Credit note) ให้ตรงกับบัญชี</t>
        </is>
      </c>
    </row>
    <row r="18">
      <c r="A18" s="4" t="inlineStr">
        <is>
          <t>ความรุนแรง Low</t>
        </is>
      </c>
      <c r="B18" s="5">
        <f>COUNTIF('ผลเทสทั้งหมด'!F2:F90,"Low")</f>
        <v/>
      </c>
      <c r="C18" s="8" t="inlineStr">
        <is>
          <t>BL-18</t>
        </is>
      </c>
      <c r="D18" s="8" t="inlineStr">
        <is>
          <t>Log payment (โอน + เงินสด, จ่ายบางส่วน)</t>
        </is>
      </c>
      <c r="E18" s="13" t="inlineStr">
        <is>
          <t>High</t>
        </is>
      </c>
      <c r="F18" s="8" t="inlineStr">
        <is>
          <t>❓ ต้องยืนยัน Business rule</t>
        </is>
      </c>
      <c r="G18" s="8" t="inlineStr">
        <is>
          <t>เพิ่ม maker–checker ขั้นรับเงิน (โดยเฉพาะเงินสด)</t>
        </is>
      </c>
    </row>
    <row r="19">
      <c r="C19" s="8" t="inlineStr">
        <is>
          <t>BL-19</t>
        </is>
      </c>
      <c r="D19" s="8" t="inlineStr">
        <is>
          <t>Claim สิทธิ์เรียนหลังจ่ายครบ</t>
        </is>
      </c>
      <c r="E19" s="13" t="inlineStr">
        <is>
          <t>High</t>
        </is>
      </c>
      <c r="F19" s="8" t="inlineStr">
        <is>
          <t>🔍 ต้องตรวจสอบ</t>
        </is>
      </c>
      <c r="G19" s="8" t="inlineStr">
        <is>
          <t>Dev ยืนยันว่าวันหมดสิทธิ์คิดจากอะไร ควรจบสิ้นเดือนที่จ่าย</t>
        </is>
      </c>
    </row>
    <row r="20">
      <c r="A20" s="3" t="inlineStr">
        <is>
          <t>ความหมาย</t>
        </is>
      </c>
      <c r="C20" s="8" t="inlineStr">
        <is>
          <t>BL-4</t>
        </is>
      </c>
      <c r="D20" s="8" t="inlineStr">
        <is>
          <t>ยอดตรงกันทุกหน้า (List / Drawer / Edit / PDF)</t>
        </is>
      </c>
      <c r="E20" s="13" t="inlineStr">
        <is>
          <t>High</t>
        </is>
      </c>
      <c r="F20" s="8" t="inlineStr">
        <is>
          <t>🔍 ต้องตรวจสอบ</t>
        </is>
      </c>
      <c r="G20" s="8" t="inlineStr">
        <is>
          <t>Dev ตรวจใบ 260922010010007 ว่ายังไม่ตรงไหม · ถ้าเปิด Edit แล้วกด Save จะทับยอด PDF หรือไม่</t>
        </is>
      </c>
    </row>
    <row r="21">
      <c r="A21" s="4" t="inlineStr">
        <is>
          <t>🔧 ต้องแก้</t>
        </is>
      </c>
      <c r="B21" s="2" t="inlineStr">
        <is>
          <t>บั๊กชัดเจน Dev ต้องแก้</t>
        </is>
      </c>
      <c r="C21" s="8" t="inlineStr">
        <is>
          <t>BL-5</t>
        </is>
      </c>
      <c r="D21" s="8" t="inlineStr">
        <is>
          <t>ใส่ Periods purchased ติดลบ</t>
        </is>
      </c>
      <c r="E21" s="13" t="inlineStr">
        <is>
          <t>High</t>
        </is>
      </c>
      <c r="F21" s="8" t="inlineStr">
        <is>
          <t>🔧 ต้องแก้</t>
        </is>
      </c>
      <c r="G21" s="8" t="inlineStr">
        <is>
          <t>บังคับ min=1 ทั้งที่ input และฝั่ง server · แสดงข้อความเตือนตรงช่อง</t>
        </is>
      </c>
    </row>
    <row r="22">
      <c r="A22" s="4" t="inlineStr">
        <is>
          <t>🔍 ต้องตรวจสอบ</t>
        </is>
      </c>
      <c r="B22" s="2" t="inlineStr">
        <is>
          <t>ต้องให้ Dev/เจ้าของตรวจหรือเทสซ้ำ</t>
        </is>
      </c>
      <c r="C22" s="8" t="inlineStr">
        <is>
          <t>BL-6</t>
        </is>
      </c>
      <c r="D22" s="8" t="inlineStr">
        <is>
          <t>ค่ารถถูกติ๊กให้อัตโนมัติ</t>
        </is>
      </c>
      <c r="E22" s="13" t="inlineStr">
        <is>
          <t>High</t>
        </is>
      </c>
      <c r="F22" s="8" t="inlineStr">
        <is>
          <t>🔧 ต้องแก้</t>
        </is>
      </c>
      <c r="G22" s="8" t="inlineStr">
        <is>
          <t>ค่าเริ่มต้น = ไม่ติ๊ก หรือดึงจาก profile นักเรียนว่าใช้รถหรือไม่ · แสดงคำเตือนก่อน Generate ถ้ามีค่ารถ</t>
        </is>
      </c>
    </row>
    <row r="23">
      <c r="A23" s="4" t="inlineStr">
        <is>
          <t>❓ ต้องยืนยัน Business rule</t>
        </is>
      </c>
      <c r="B23" s="2" t="inlineStr">
        <is>
          <t>ไม่ใช่บั๊กตรงๆ ต้องตัดสินใจกฎธุรกิจก่อน</t>
        </is>
      </c>
      <c r="C23" s="8" t="inlineStr">
        <is>
          <t>BL-9</t>
        </is>
      </c>
      <c r="D23" s="8" t="inlineStr">
        <is>
          <t>เลขที่ invoice ต่อเนื่อง</t>
        </is>
      </c>
      <c r="E23" s="13" t="inlineStr">
        <is>
          <t>High</t>
        </is>
      </c>
      <c r="F23" s="8" t="inlineStr">
        <is>
          <t>🔧 ต้องแก้</t>
        </is>
      </c>
      <c r="G23" s="8" t="inlineStr">
        <is>
          <t>จองเลขภายใน transaction เดียวกับการสร้างใบ (rollback แล้วเลขไม่หาย) หรือออกเลขตอน Approve</t>
        </is>
      </c>
    </row>
    <row r="24">
      <c r="A24" s="4" t="inlineStr">
        <is>
          <t>Critical</t>
        </is>
      </c>
      <c r="B24" s="2" t="inlineStr">
        <is>
          <t>ข้อมูล/เงิน/สิทธิ์ผิด ใช้จริงไม่ได้</t>
        </is>
      </c>
      <c r="C24" s="8" t="inlineStr">
        <is>
          <t>C1</t>
        </is>
      </c>
      <c r="D24" s="8" t="inlineStr">
        <is>
          <t>เช็คชื่อครั้งแรก</t>
        </is>
      </c>
      <c r="E24" s="13" t="inlineStr">
        <is>
          <t>High</t>
        </is>
      </c>
      <c r="F24" s="8" t="inlineStr">
        <is>
          <t>🔧 ต้องแก้</t>
        </is>
      </c>
      <c r="G24" s="8" t="inlineStr">
        <is>
          <t>คลิกเดียวบันทึกเสมอ (start class อัตโนมัติ) + toast ยืนยัน</t>
        </is>
      </c>
    </row>
    <row r="25">
      <c r="A25" s="4" t="inlineStr">
        <is>
          <t>High</t>
        </is>
      </c>
      <c r="B25" s="2" t="inlineStr">
        <is>
          <t>กระทบงานประจำวัน</t>
        </is>
      </c>
      <c r="C25" s="8" t="inlineStr">
        <is>
          <t>D5</t>
        </is>
      </c>
      <c r="D25" s="8" t="inlineStr">
        <is>
          <t>Send to parent (ไม่มี LINE)</t>
        </is>
      </c>
      <c r="E25" s="13" t="inlineStr">
        <is>
          <t>High</t>
        </is>
      </c>
      <c r="F25" s="8" t="inlineStr">
        <is>
          <t>🔧 ต้องแก้</t>
        </is>
      </c>
      <c r="G25" s="8" t="inlineStr">
        <is>
          <t>ซ่อนปุ่ม Send จนกว่าจะ Approved · confirm ก่อนส่ง · สถานะ "ยังไม่ผูก LINE" แทน Sent</t>
        </is>
      </c>
    </row>
    <row r="26">
      <c r="A26" s="4" t="inlineStr">
        <is>
          <t>Medium</t>
        </is>
      </c>
      <c r="B26" s="2" t="inlineStr">
        <is>
          <t>ใช้ได้แต่สับสน/เสี่ยง</t>
        </is>
      </c>
      <c r="C26" s="8" t="inlineStr">
        <is>
          <t>E5</t>
        </is>
      </c>
      <c r="D26" s="8" t="inlineStr">
        <is>
          <t>Day view แสดงครบทุก session?</t>
        </is>
      </c>
      <c r="E26" s="13" t="inlineStr">
        <is>
          <t>High</t>
        </is>
      </c>
      <c r="F26" s="8" t="inlineStr">
        <is>
          <t>🔧 ต้องแก้</t>
        </is>
      </c>
      <c r="G26" s="8" t="inlineStr">
        <is>
          <t>เพิ่มคอลัมน์ "No teacher" / "Unknown teacher" ใน Day view · ใส่ครูที่ถูกลบใน filter</t>
        </is>
      </c>
    </row>
    <row r="27">
      <c r="A27" s="4" t="inlineStr">
        <is>
          <t>Low</t>
        </is>
      </c>
      <c r="B27" s="2" t="inlineStr">
        <is>
          <t>UX เล็กน้อย</t>
        </is>
      </c>
      <c r="C27" s="8" t="inlineStr">
        <is>
          <t>F2</t>
        </is>
      </c>
      <c r="D27" s="8" t="inlineStr">
        <is>
          <t>ลบครูที่ยังสอนคลาส Active</t>
        </is>
      </c>
      <c r="E27" s="13" t="inlineStr">
        <is>
          <t>High</t>
        </is>
      </c>
      <c r="F27" s="8" t="inlineStr">
        <is>
          <t>🔧 ต้องแก้</t>
        </is>
      </c>
      <c r="G27" s="8" t="inlineStr">
        <is>
          <t>เตือน + บังคับเลือกครูแทนก่อนลบ · แสดงชื่อครูที่ออกแล้ว</t>
        </is>
      </c>
    </row>
    <row r="28">
      <c r="C28" s="8" t="inlineStr">
        <is>
          <t>F7</t>
        </is>
      </c>
      <c r="D28" s="8" t="inlineStr">
        <is>
          <t>สถานะนักเรียน</t>
        </is>
      </c>
      <c r="E28" s="13" t="inlineStr">
        <is>
          <t>High</t>
        </is>
      </c>
      <c r="F28" s="8" t="inlineStr">
        <is>
          <t>🔧 ต้องแก้</t>
        </is>
      </c>
      <c r="G28" s="8" t="inlineStr">
        <is>
          <t>คำนวณสถานะ/คาบคงเหลือจาก entitlement จริง</t>
        </is>
      </c>
    </row>
    <row r="29">
      <c r="C29" s="8" t="inlineStr">
        <is>
          <t>G3</t>
        </is>
      </c>
      <c r="D29" s="8" t="inlineStr">
        <is>
          <t>Students</t>
        </is>
      </c>
      <c r="E29" s="13" t="inlineStr">
        <is>
          <t>High</t>
        </is>
      </c>
      <c r="F29" s="8" t="inlineStr">
        <is>
          <t>❓ ต้องยืนยัน Business rule</t>
        </is>
      </c>
      <c r="G29" s="8" t="inlineStr">
        <is>
          <t>จำกัด Export เฉพาะ Admin ขึ้นไป</t>
        </is>
      </c>
    </row>
    <row r="30">
      <c r="C30" s="8" t="inlineStr">
        <is>
          <t>S1</t>
        </is>
      </c>
      <c r="D30" s="8" t="inlineStr">
        <is>
          <t>ความเร็ว</t>
        </is>
      </c>
      <c r="E30" s="13" t="inlineStr">
        <is>
          <t>High</t>
        </is>
      </c>
      <c r="F30" s="8" t="inlineStr">
        <is>
          <t>🔧 ต้องแก้</t>
        </is>
      </c>
      <c r="G30" s="8" t="inlineStr">
        <is>
          <t>ปิด prefetch ของลิงก์ sidebar · cache ข้อมูลอ้างอิง</t>
        </is>
      </c>
    </row>
    <row r="31">
      <c r="C31" s="8" t="inlineStr">
        <is>
          <t>S6</t>
        </is>
      </c>
      <c r="D31" s="8" t="inlineStr">
        <is>
          <t>Director ลบตัวเองได้</t>
        </is>
      </c>
      <c r="E31" s="13" t="inlineStr">
        <is>
          <t>High</t>
        </is>
      </c>
      <c r="F31" s="8" t="inlineStr">
        <is>
          <t>🔧 ต้องแก้</t>
        </is>
      </c>
      <c r="G31" s="8" t="inlineStr">
        <is>
          <t>ห้ามลบตัวเอง / ต้องเหลือ Director อย่างน้อย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2" customWidth="1" min="3" max="3"/>
    <col width="60" customWidth="1" min="4" max="4"/>
    <col width="18" customWidth="1" min="5" max="5"/>
    <col width="11" customWidth="1" min="6" max="6"/>
    <col width="22" customWidth="1" min="7" max="7"/>
    <col width="55" customWidth="1" min="8" max="8"/>
    <col width="14" customWidth="1" min="9" max="9"/>
    <col width="28" customWidth="1" min="10" max="10"/>
  </cols>
  <sheetData>
    <row r="1" ht="30" customHeight="1">
      <c r="A1" s="14" t="inlineStr">
        <is>
          <t>รหัส</t>
        </is>
      </c>
      <c r="B1" s="14" t="inlineStr">
        <is>
          <t>หมวด</t>
        </is>
      </c>
      <c r="C1" s="14" t="inlineStr">
        <is>
          <t>สิ่งที่เทส</t>
        </is>
      </c>
      <c r="D1" s="14" t="inlineStr">
        <is>
          <t>ผลที่ได้</t>
        </is>
      </c>
      <c r="E1" s="14" t="inlineStr">
        <is>
          <t>สถานะ</t>
        </is>
      </c>
      <c r="F1" s="14" t="inlineStr">
        <is>
          <t>ความรุนแรง</t>
        </is>
      </c>
      <c r="G1" s="14" t="inlineStr">
        <is>
          <t>ต้องทำ</t>
        </is>
      </c>
      <c r="H1" s="14" t="inlineStr">
        <is>
          <t>ข้อแนะนำ / วิธีแก้</t>
        </is>
      </c>
      <c r="I1" s="14" t="inlineStr">
        <is>
          <t>สถานะ Dev</t>
        </is>
      </c>
      <c r="J1" s="14" t="inlineStr">
        <is>
          <t>หมายเหตุ Dev</t>
        </is>
      </c>
    </row>
    <row r="2">
      <c r="A2" s="8" t="inlineStr">
        <is>
          <t>BL-1</t>
        </is>
      </c>
      <c r="B2" s="8" t="inlineStr">
        <is>
          <t>Billing</t>
        </is>
      </c>
      <c r="C2" s="8" t="inlineStr">
        <is>
          <t>Generate PDF (เดิมค้าง "Generating…" ตลอดใน TEST-Branch)</t>
        </is>
      </c>
      <c r="D2" s="8" t="inlineStr">
        <is>
          <t>แก้แล้ว: ใบค้างกด Retry PDF ในตาราง ~20 วิ gen สำเร็จ · ใบใหม่ gen ~30 วิ · icon retry ใน drawer กดแล้วไม่เกิดอะไร · ไม่มี toast ตอน gen เสร็จ</t>
        </is>
      </c>
      <c r="E2" s="15" t="inlineStr">
        <is>
          <t>⚠️ ผ่าน/มีข้อสังเกต</t>
        </is>
      </c>
      <c r="F2" s="16" t="inlineStr">
        <is>
          <t>Low</t>
        </is>
      </c>
      <c r="G2" s="8" t="inlineStr">
        <is>
          <t>🔧 ต้องแก้</t>
        </is>
      </c>
      <c r="H2" s="8" t="inlineStr">
        <is>
          <t>ให้ icon ใน drawer ทำงานเหมือนปุ่มในตาราง + tooltip · แจ้ง toast เมื่อ PDF เสร็จ/ล้มเหลว · ตั้ง timeout แล้วเปลี่ยนเป็นสถานะ "Failed – Retry" แทนค้าง Generating</t>
        </is>
      </c>
      <c r="I2" s="8" t="inlineStr"/>
      <c r="J2" s="8" t="inlineStr"/>
    </row>
    <row r="3">
      <c r="A3" s="8" t="inlineStr">
        <is>
          <t>BL-2</t>
        </is>
      </c>
      <c r="B3" s="8" t="inlineStr">
        <is>
          <t>Billing</t>
        </is>
      </c>
      <c r="C3" s="8" t="inlineStr">
        <is>
          <t>คำนวณช่วงเรียน + pro-rate รายเดือน (ซื้อ 2 เดือน เริ่ม 29 ก.ย.)</t>
        </is>
      </c>
      <c r="D3" s="8" t="inlineStr">
        <is>
          <t>แก้แล้ว: 29 ก.ย.→31 ต.ค. · ก.ย. 30% ฿1,350 + ต.ค. 100% ฿4,500 ถูกต้อง · แต่บรรทัดสรุปเขียน "5 sessions · 10 hrs" ทั้งที่จริง 4 ครั้ง × 1 ชม. (นับวันหยุด + ชม.เป็น 2 เท่า) · หัวบรรทัด "→27 Oct" แต่ด้านล่าง "→31 Oct"</t>
        </is>
      </c>
      <c r="E3" s="17" t="inlineStr">
        <is>
          <t>🔴 บั๊ก</t>
        </is>
      </c>
      <c r="F3" s="18" t="inlineStr">
        <is>
          <t>Medium</t>
        </is>
      </c>
      <c r="G3" s="8" t="inlineStr">
        <is>
          <t>🔧 ต้องแก้</t>
        </is>
      </c>
      <c r="H3" s="8" t="inlineStr">
        <is>
          <t>นับ sessions/ชั่วโมงจาก session ที่ gen จริง (ตัด holiday) และรวมชม.จากความยาวคาบจริง · ใช้ฟังก์ชันเดียวกับที่ใช้คิดราคาและค่ารถ</t>
        </is>
      </c>
      <c r="I3" s="8" t="inlineStr"/>
      <c r="J3" s="8" t="inlineStr"/>
    </row>
    <row r="4">
      <c r="A4" s="8" t="inlineStr">
        <is>
          <t>BL-3</t>
        </is>
      </c>
      <c r="B4" s="8" t="inlineStr">
        <is>
          <t>Billing</t>
        </is>
      </c>
      <c r="C4" s="8" t="inlineStr">
        <is>
          <t>ตัวเลขหน้า Create vs หน้า Edit ของ invoice เดียวกัน</t>
        </is>
      </c>
      <c r="D4" s="8" t="inlineStr">
        <is>
          <t>Create บอก ต.ค. "Max 3 sessions" · Edit ใบเดียวกันบอก "Max 4 sessions" (ราคาเท่ากัน)</t>
        </is>
      </c>
      <c r="E4" s="17" t="inlineStr">
        <is>
          <t>🔴 บั๊ก</t>
        </is>
      </c>
      <c r="F4" s="18" t="inlineStr">
        <is>
          <t>Medium</t>
        </is>
      </c>
      <c r="G4" s="8" t="inlineStr">
        <is>
          <t>🔧 ต้องแก้</t>
        </is>
      </c>
      <c r="H4" s="8" t="inlineStr">
        <is>
          <t>Create/Edit ต้องเรียก logic คำนวณเดียวกัน (น่าจะมีที่หนึ่งไม่ตัด holiday)</t>
        </is>
      </c>
      <c r="I4" s="8" t="inlineStr"/>
      <c r="J4" s="8" t="inlineStr"/>
    </row>
    <row r="5">
      <c r="A5" s="8" t="inlineStr">
        <is>
          <t>BL-4</t>
        </is>
      </c>
      <c r="B5" s="8" t="inlineStr">
        <is>
          <t>Billing</t>
        </is>
      </c>
      <c r="C5" s="8" t="inlineStr">
        <is>
          <t>ยอดตรงกันทุกหน้า (List / Drawer / Edit / PDF)</t>
        </is>
      </c>
      <c r="D5" s="8" t="inlineStr">
        <is>
          <t>ใบใหม่ 260924010020006 ตรงกันหมด ฿6,900 · ใบเก่า 260922010010007 (Thong lo) ที่ PDF ≠ Edit ยังไม่ได้ตรวจซ้ำ</t>
        </is>
      </c>
      <c r="E5" s="15" t="inlineStr">
        <is>
          <t>⚠️ ผ่าน/มีข้อสังเกต</t>
        </is>
      </c>
      <c r="F5" s="13" t="inlineStr">
        <is>
          <t>High</t>
        </is>
      </c>
      <c r="G5" s="8" t="inlineStr">
        <is>
          <t>🔍 ต้องตรวจสอบ</t>
        </is>
      </c>
      <c r="H5" s="8" t="inlineStr">
        <is>
          <t>Dev ตรวจใบ 260922010010007 ว่ายังไม่ตรงไหม · ถ้าเปิด Edit แล้วกด Save จะทับยอด PDF หรือไม่</t>
        </is>
      </c>
      <c r="I5" s="8" t="inlineStr"/>
      <c r="J5" s="8" t="inlineStr"/>
    </row>
    <row r="6">
      <c r="A6" s="8" t="inlineStr">
        <is>
          <t>BL-5</t>
        </is>
      </c>
      <c r="B6" s="8" t="inlineStr">
        <is>
          <t>Billing</t>
        </is>
      </c>
      <c r="C6" s="8" t="inlineStr">
        <is>
          <t>ใส่ Periods purchased ติดลบ</t>
        </is>
      </c>
      <c r="D6" s="8" t="inlineStr">
        <is>
          <t>ใส่ -1 → ราคา ฿-4,500 (ยังไม่แก้)</t>
        </is>
      </c>
      <c r="E6" s="17" t="inlineStr">
        <is>
          <t>🔴 บั๊ก</t>
        </is>
      </c>
      <c r="F6" s="13" t="inlineStr">
        <is>
          <t>High</t>
        </is>
      </c>
      <c r="G6" s="8" t="inlineStr">
        <is>
          <t>🔧 ต้องแก้</t>
        </is>
      </c>
      <c r="H6" s="8" t="inlineStr">
        <is>
          <t>บังคับ min=1 ทั้งที่ input และฝั่ง server · แสดงข้อความเตือนตรงช่อง</t>
        </is>
      </c>
      <c r="I6" s="8" t="inlineStr"/>
      <c r="J6" s="8" t="inlineStr"/>
    </row>
    <row r="7">
      <c r="A7" s="8" t="inlineStr">
        <is>
          <t>BL-6</t>
        </is>
      </c>
      <c r="B7" s="8" t="inlineStr">
        <is>
          <t>Billing</t>
        </is>
      </c>
      <c r="C7" s="8" t="inlineStr">
        <is>
          <t>ค่ารถถูกติ๊กให้อัตโนมัติ</t>
        </is>
      </c>
      <c r="D7" s="8" t="inlineStr">
        <is>
          <t>Bus fee ติ๊ก Pickup + Drop off ทุกรอบให้เอง (฿1,200) แม้นักเรียนอาจไม่ใช้รถ (ยังไม่แก้) · การติ๊กออกรายขาคำนวณถูก</t>
        </is>
      </c>
      <c r="E7" s="17" t="inlineStr">
        <is>
          <t>🔴 บั๊ก</t>
        </is>
      </c>
      <c r="F7" s="13" t="inlineStr">
        <is>
          <t>High</t>
        </is>
      </c>
      <c r="G7" s="8" t="inlineStr">
        <is>
          <t>🔧 ต้องแก้</t>
        </is>
      </c>
      <c r="H7" s="8" t="inlineStr">
        <is>
          <t>ค่าเริ่มต้น = ไม่ติ๊ก หรือดึงจาก profile นักเรียนว่าใช้รถหรือไม่ · แสดงคำเตือนก่อน Generate ถ้ามีค่ารถ</t>
        </is>
      </c>
      <c r="I7" s="8" t="inlineStr"/>
      <c r="J7" s="8" t="inlineStr"/>
    </row>
    <row r="8">
      <c r="A8" s="8" t="inlineStr">
        <is>
          <t>BL-7</t>
        </is>
      </c>
      <c r="B8" s="8" t="inlineStr">
        <is>
          <t>Billing</t>
        </is>
      </c>
      <c r="C8" s="8" t="inlineStr">
        <is>
          <t>Void invoice โดยไม่ใส่เหตุผล</t>
        </is>
      </c>
      <c r="D8" s="8" t="inlineStr">
        <is>
          <t>มี toast "Enter a reason for voiding this invoice" (ไม่เงียบแล้ว) · ช่อง Reason ไม่มี * และปุ่มไม่ disabled · ข้อความ "…0006will" ขาดเว้นวรรค</t>
        </is>
      </c>
      <c r="E8" s="15" t="inlineStr">
        <is>
          <t>⚠️ ผ่าน/มีข้อสังเกต</t>
        </is>
      </c>
      <c r="F8" s="16" t="inlineStr">
        <is>
          <t>Low</t>
        </is>
      </c>
      <c r="G8" s="8" t="inlineStr">
        <is>
          <t>🔧 ต้องแก้</t>
        </is>
      </c>
      <c r="H8" s="8" t="inlineStr">
        <is>
          <t>ติด * ที่ช่อง Reason + disable ปุ่มจนกว่าจะกรอก · แก้เว้นวรรค</t>
        </is>
      </c>
      <c r="I8" s="8" t="inlineStr"/>
      <c r="J8" s="8" t="inlineStr"/>
    </row>
    <row r="9">
      <c r="A9" s="8" t="inlineStr">
        <is>
          <t>BL-8</t>
        </is>
      </c>
      <c r="B9" s="8" t="inlineStr">
        <is>
          <t>Billing</t>
        </is>
      </c>
      <c r="C9" s="8" t="inlineStr">
        <is>
          <t>Save draft (ฟีเจอร์ใหม่)</t>
        </is>
      </c>
      <c r="D9" s="8" t="inlineStr">
        <is>
          <t>บันทึกได้ + toast + list refresh ทันที · draft ได้เลขใบกำกับจริงทันที (260924010020006) · timeline ติ๊ก "Invoice Created" ✓ ทั้งที่เป็น draft</t>
        </is>
      </c>
      <c r="E9" s="15" t="inlineStr">
        <is>
          <t>⚠️ ผ่าน/มีข้อสังเกต</t>
        </is>
      </c>
      <c r="F9" s="18" t="inlineStr">
        <is>
          <t>Medium</t>
        </is>
      </c>
      <c r="G9" s="8" t="inlineStr">
        <is>
          <t>❓ ต้องยืนยัน Business rule</t>
        </is>
      </c>
      <c r="H9" s="8" t="inlineStr">
        <is>
          <t>ออกเลขใบกำกับตอน Generate/Approve แทนตอน Save draft เพื่อไม่ให้เลขขาดช่วงเมื่อลบ draft · timeline ของ draft ควรเป็น "Draft"</t>
        </is>
      </c>
      <c r="I9" s="8" t="inlineStr"/>
      <c r="J9" s="8" t="inlineStr"/>
    </row>
    <row r="10">
      <c r="A10" s="8" t="inlineStr">
        <is>
          <t>BL-9</t>
        </is>
      </c>
      <c r="B10" s="8" t="inlineStr">
        <is>
          <t>Billing</t>
        </is>
      </c>
      <c r="C10" s="8" t="inlineStr">
        <is>
          <t>เลขที่ invoice ต่อเนื่อง</t>
        </is>
      </c>
      <c r="D10" s="8" t="inlineStr">
        <is>
          <t>เลขกระโดด 0003 → 0005 (0004 หายตอน server ตอบ 500) · ใบกำกับภาษีควรต่อเนื่อง</t>
        </is>
      </c>
      <c r="E10" s="17" t="inlineStr">
        <is>
          <t>🔴 บั๊ก</t>
        </is>
      </c>
      <c r="F10" s="13" t="inlineStr">
        <is>
          <t>High</t>
        </is>
      </c>
      <c r="G10" s="8" t="inlineStr">
        <is>
          <t>🔧 ต้องแก้</t>
        </is>
      </c>
      <c r="H10" s="8" t="inlineStr">
        <is>
          <t>จองเลขภายใน transaction เดียวกับการสร้างใบ (rollback แล้วเลขไม่หาย) หรือออกเลขตอน Approve</t>
        </is>
      </c>
      <c r="I10" s="8" t="inlineStr"/>
      <c r="J10" s="8" t="inlineStr"/>
    </row>
    <row r="11">
      <c r="A11" s="8" t="inlineStr">
        <is>
          <t>BL-10</t>
        </is>
      </c>
      <c r="B11" s="8" t="inlineStr">
        <is>
          <t>Billing</t>
        </is>
      </c>
      <c r="C11" s="8" t="inlineStr">
        <is>
          <t>การ์ดสรุปด้านบน (Revenue/Pending/Cancel/Total)</t>
        </is>
      </c>
      <c r="D11" s="8" t="inlineStr">
        <is>
          <t>การ์ด PENDING = 0 ขณะมี 3 ใบรออนุมัติ (header บอก "3 pending approvals") → คำว่า Pending ความหมายซ้อน</t>
        </is>
      </c>
      <c r="E11" s="15" t="inlineStr">
        <is>
          <t>⚠️ ผ่าน/มีข้อสังเกต</t>
        </is>
      </c>
      <c r="F11" s="16" t="inlineStr">
        <is>
          <t>Low</t>
        </is>
      </c>
      <c r="G11" s="8" t="inlineStr">
        <is>
          <t>🔧 ต้องแก้</t>
        </is>
      </c>
      <c r="H11" s="8" t="inlineStr">
        <is>
          <t>เปลี่ยนชื่อการ์ดให้ชัด เช่น "รอชำระ" vs "รออนุมัติ PDF" หรือเพิ่มการ์ดรออนุมัติ</t>
        </is>
      </c>
      <c r="I11" s="8" t="inlineStr"/>
      <c r="J11" s="8" t="inlineStr"/>
    </row>
    <row r="12">
      <c r="A12" s="8" t="inlineStr">
        <is>
          <t>BL-11</t>
        </is>
      </c>
      <c r="B12" s="8" t="inlineStr">
        <is>
          <t>Billing</t>
        </is>
      </c>
      <c r="C12" s="8" t="inlineStr">
        <is>
          <t>Filter Draft/Pending/Paid/Void + ช่วงเวลา</t>
        </is>
      </c>
      <c r="D12" s="8" t="inlineStr">
        <is>
          <t>กรองถูกต้อง</t>
        </is>
      </c>
      <c r="E12" s="19" t="inlineStr">
        <is>
          <t>✅ ผ่าน</t>
        </is>
      </c>
      <c r="F12" s="8" t="inlineStr">
        <is>
          <t>—</t>
        </is>
      </c>
      <c r="G12" s="8" t="inlineStr">
        <is>
          <t>—</t>
        </is>
      </c>
      <c r="H12" s="8" t="inlineStr"/>
      <c r="I12" s="8" t="inlineStr"/>
      <c r="J12" s="8" t="inlineStr"/>
    </row>
    <row r="13">
      <c r="A13" s="8" t="inlineStr">
        <is>
          <t>BL-12</t>
        </is>
      </c>
      <c r="B13" s="8" t="inlineStr">
        <is>
          <t>Billing</t>
        </is>
      </c>
      <c r="C13" s="8" t="inlineStr">
        <is>
          <t>เลือกคลาสตอนออก invoice</t>
        </is>
      </c>
      <c r="D13" s="8" t="inlineStr">
        <is>
          <t>เสนอคลาสแบบครั้งเดียว (Test/Exam) ให้เลือกกับคอร์ส 2 เดือน · คลาสของครูที่ถูกลบยังเลือกได้ และ invoice ลิงก์ไปครูที่ถูกลบ</t>
        </is>
      </c>
      <c r="E13" s="15" t="inlineStr">
        <is>
          <t>⚠️ ผ่าน/มีข้อสังเกต</t>
        </is>
      </c>
      <c r="F13" s="18" t="inlineStr">
        <is>
          <t>Medium</t>
        </is>
      </c>
      <c r="G13" s="8" t="inlineStr">
        <is>
          <t>🔧 ต้องแก้</t>
        </is>
      </c>
      <c r="H13" s="8" t="inlineStr">
        <is>
          <t>กรองเฉพาะคลาส Learning ที่ Active และมีครู Active · เตือนถ้าครูของคลาสถูกลบ</t>
        </is>
      </c>
      <c r="I13" s="8" t="inlineStr"/>
      <c r="J13" s="8" t="inlineStr"/>
    </row>
    <row r="14">
      <c r="A14" s="8" t="inlineStr">
        <is>
          <t>BL-13</t>
        </is>
      </c>
      <c r="B14" s="8" t="inlineStr">
        <is>
          <t>Billing</t>
        </is>
      </c>
      <c r="C14" s="8" t="inlineStr">
        <is>
          <t>Drawer รายละเอียด invoice</t>
        </is>
      </c>
      <c r="D14" s="8" t="inlineStr">
        <is>
          <t>Family แสดง "—" ทั้งที่ list บอก Family Family · คอร์สแสดง "1m" ทั้งที่ซื้อ 2 เดือน</t>
        </is>
      </c>
      <c r="E14" s="15" t="inlineStr">
        <is>
          <t>⚠️ ผ่าน/มีข้อสังเกต</t>
        </is>
      </c>
      <c r="F14" s="16" t="inlineStr">
        <is>
          <t>Low</t>
        </is>
      </c>
      <c r="G14" s="8" t="inlineStr">
        <is>
          <t>🔧 ต้องแก้</t>
        </is>
      </c>
      <c r="H14" s="8" t="inlineStr">
        <is>
          <t>ดึงข้อมูล family ให้ตรงกับ list · แสดงจำนวนเดือนที่ซื้อจริง</t>
        </is>
      </c>
      <c r="I14" s="8" t="inlineStr"/>
      <c r="J14" s="8" t="inlineStr"/>
    </row>
    <row r="15">
      <c r="A15" s="8" t="inlineStr">
        <is>
          <t>BL-14</t>
        </is>
      </c>
      <c r="B15" s="8" t="inlineStr">
        <is>
          <t>Billing</t>
        </is>
      </c>
      <c r="C15" s="8" t="inlineStr">
        <is>
          <t>Maker–Checker อนุมัติ PDF</t>
        </is>
      </c>
      <c r="D15" s="8" t="inlineStr">
        <is>
          <t>คนสร้างอนุมัติเองไม่ได้ ✅ · แต่ Teacher (Dai Breezy) กด Approve invoice ได้</t>
        </is>
      </c>
      <c r="E15" s="17" t="inlineStr">
        <is>
          <t>🔴 บั๊ก</t>
        </is>
      </c>
      <c r="F15" s="13" t="inlineStr">
        <is>
          <t>High</t>
        </is>
      </c>
      <c r="G15" s="8" t="inlineStr">
        <is>
          <t>❓ ต้องยืนยัน Business rule</t>
        </is>
      </c>
      <c r="H15" s="8" t="inlineStr">
        <is>
          <t>กำหนดว่า role ไหนอนุมัติได้ (แนะนำ Admin/Manager/Director) แล้วซ่อนปุ่มจาก role อื่น</t>
        </is>
      </c>
      <c r="I15" s="8" t="inlineStr"/>
      <c r="J15" s="8" t="inlineStr"/>
    </row>
    <row r="16">
      <c r="A16" s="8" t="inlineStr">
        <is>
          <t>BL-15</t>
        </is>
      </c>
      <c r="B16" s="8" t="inlineStr">
        <is>
          <t>Billing</t>
        </is>
      </c>
      <c r="C16" s="8" t="inlineStr">
        <is>
          <t>Send to Parent เมื่อไม่มี LINE</t>
        </is>
      </c>
      <c r="D16" s="8" t="inlineStr">
        <is>
          <t>toast "nothing was delivered" + ปุ่ม Send again ✅ · แต่ timeline ติ๊ก ✓ ขั้น Send ทั้งที่ไม่ถึงผู้ปกครอง</t>
        </is>
      </c>
      <c r="E16" s="15" t="inlineStr">
        <is>
          <t>⚠️ ผ่าน/มีข้อสังเกต</t>
        </is>
      </c>
      <c r="F16" s="18" t="inlineStr">
        <is>
          <t>Medium</t>
        </is>
      </c>
      <c r="G16" s="8" t="inlineStr">
        <is>
          <t>🔧 ต้องแก้</t>
        </is>
      </c>
      <c r="H16" s="8" t="inlineStr">
        <is>
          <t>แยกสถานะ "ส่งไม่สำเร็จ / ยังไม่ผูก LINE" ไม่ให้ติ๊ก ✓</t>
        </is>
      </c>
      <c r="I16" s="8" t="inlineStr"/>
      <c r="J16" s="8" t="inlineStr"/>
    </row>
    <row r="17">
      <c r="A17" s="8" t="inlineStr">
        <is>
          <t>BL-16</t>
        </is>
      </c>
      <c r="B17" s="8" t="inlineStr">
        <is>
          <t>Billing</t>
        </is>
      </c>
      <c r="C17" s="8" t="inlineStr">
        <is>
          <t>ปุ่ม Send ในตารางเมื่อยังไม่กรอก Note to parent</t>
        </is>
      </c>
      <c r="D17" s="8" t="inlineStr">
        <is>
          <t>ครั้งก่อนกดแล้วไม่เห็นผล (อาจมี toast ที่หายเร็ว)</t>
        </is>
      </c>
      <c r="E17" s="20" t="inlineStr">
        <is>
          <t>⬜ ยังไม่เทส</t>
        </is>
      </c>
      <c r="F17" s="8" t="inlineStr">
        <is>
          <t>—</t>
        </is>
      </c>
      <c r="G17" s="8" t="inlineStr">
        <is>
          <t>🔍 ต้องตรวจสอบ</t>
        </is>
      </c>
      <c r="H17" s="8" t="inlineStr">
        <is>
          <t>เทสซ้ำ: ถ้าไม่มี toast ให้เพิ่มข้อความเตือน/เปิด drawer ไปที่ช่อง Note</t>
        </is>
      </c>
      <c r="I17" s="8" t="inlineStr"/>
      <c r="J17" s="8" t="inlineStr"/>
    </row>
    <row r="18">
      <c r="A18" s="8" t="inlineStr">
        <is>
          <t>BL-17</t>
        </is>
      </c>
      <c r="B18" s="8" t="inlineStr">
        <is>
          <t>Billing</t>
        </is>
      </c>
      <c r="C18" s="8" t="inlineStr">
        <is>
          <t>Refund / Credit note</t>
        </is>
      </c>
      <c r="D18" s="8" t="inlineStr">
        <is>
          <t>ไม่มีฟังก์ชัน · Void ไม่ได้ถ้ามีการจ่ายแล้ว (ถูก) แต่ไม่มีทางคืนเงิน</t>
        </is>
      </c>
      <c r="E18" s="15" t="inlineStr">
        <is>
          <t>⚠️ ผ่าน/มีข้อสังเกต</t>
        </is>
      </c>
      <c r="F18" s="13" t="inlineStr">
        <is>
          <t>High</t>
        </is>
      </c>
      <c r="G18" s="8" t="inlineStr">
        <is>
          <t>❓ ต้องยืนยัน Business rule</t>
        </is>
      </c>
      <c r="H18" s="8" t="inlineStr">
        <is>
          <t>ออกแบบ flow คืนเงิน/ลดหนี้ (Credit note) ให้ตรงกับบัญชี</t>
        </is>
      </c>
      <c r="I18" s="8" t="inlineStr"/>
      <c r="J18" s="8" t="inlineStr"/>
    </row>
    <row r="19">
      <c r="A19" s="8" t="inlineStr">
        <is>
          <t>BL-18</t>
        </is>
      </c>
      <c r="B19" s="8" t="inlineStr">
        <is>
          <t>Billing</t>
        </is>
      </c>
      <c r="C19" s="8" t="inlineStr">
        <is>
          <t>Log payment (โอน + เงินสด, จ่ายบางส่วน)</t>
        </is>
      </c>
      <c r="D19" s="8" t="inlineStr">
        <is>
          <t>จ่ายบางส่วนได้ + กันยอดเกิน ✅ · คนเดียวกันบันทึกและ Confirm เงินเองได้</t>
        </is>
      </c>
      <c r="E19" s="15" t="inlineStr">
        <is>
          <t>⚠️ ผ่าน/มีข้อสังเกต</t>
        </is>
      </c>
      <c r="F19" s="13" t="inlineStr">
        <is>
          <t>High</t>
        </is>
      </c>
      <c r="G19" s="8" t="inlineStr">
        <is>
          <t>❓ ต้องยืนยัน Business rule</t>
        </is>
      </c>
      <c r="H19" s="8" t="inlineStr">
        <is>
          <t>เพิ่ม maker–checker ขั้นรับเงิน (โดยเฉพาะเงินสด)</t>
        </is>
      </c>
      <c r="I19" s="8" t="inlineStr"/>
      <c r="J19" s="8" t="inlineStr"/>
    </row>
    <row r="20">
      <c r="A20" s="8" t="inlineStr">
        <is>
          <t>BL-19</t>
        </is>
      </c>
      <c r="B20" s="8" t="inlineStr">
        <is>
          <t>Billing</t>
        </is>
      </c>
      <c r="C20" s="8" t="inlineStr">
        <is>
          <t>Claim สิทธิ์เรียนหลังจ่ายครบ</t>
        </is>
      </c>
      <c r="D20" s="8" t="inlineStr">
        <is>
          <t>auto-claim ✅ · จ่าย pro-rate ก.ย. 30% แต่สิทธิ์ "Renews 23 Oct" → อาจได้เรียนเกินที่จ่าย</t>
        </is>
      </c>
      <c r="E20" s="15" t="inlineStr">
        <is>
          <t>⚠️ ผ่าน/มีข้อสังเกต</t>
        </is>
      </c>
      <c r="F20" s="13" t="inlineStr">
        <is>
          <t>High</t>
        </is>
      </c>
      <c r="G20" s="8" t="inlineStr">
        <is>
          <t>🔍 ต้องตรวจสอบ</t>
        </is>
      </c>
      <c r="H20" s="8" t="inlineStr">
        <is>
          <t>Dev ยืนยันว่าวันหมดสิทธิ์คิดจากอะไร ควรจบสิ้นเดือนที่จ่าย</t>
        </is>
      </c>
      <c r="I20" s="8" t="inlineStr"/>
      <c r="J20" s="8" t="inlineStr"/>
    </row>
    <row r="21">
      <c r="A21" s="8" t="inlineStr">
        <is>
          <t>BL-20</t>
        </is>
      </c>
      <c r="B21" s="8" t="inlineStr">
        <is>
          <t>Billing</t>
        </is>
      </c>
      <c r="C21" s="8" t="inlineStr">
        <is>
          <t>Receipt</t>
        </is>
      </c>
      <c r="D21" s="8" t="inlineStr">
        <is>
          <t>สร้างได้ (มี Split receipt) ✅ · drawer ไม่อัปเดตหลังสร้าง (เสี่ยงกดซ้ำ) · เลขใบเสร็จรูปแบบเดียวกับ invoice</t>
        </is>
      </c>
      <c r="E21" s="15" t="inlineStr">
        <is>
          <t>⚠️ ผ่าน/มีข้อสังเกต</t>
        </is>
      </c>
      <c r="F21" s="18" t="inlineStr">
        <is>
          <t>Medium</t>
        </is>
      </c>
      <c r="G21" s="8" t="inlineStr">
        <is>
          <t>🔧 ต้องแก้</t>
        </is>
      </c>
      <c r="H21" s="8" t="inlineStr">
        <is>
          <t>refresh drawer หลังสร้าง + กันกดซ้ำ · ใช้ prefix แยก เช่น RC-…</t>
        </is>
      </c>
      <c r="I21" s="8" t="inlineStr"/>
      <c r="J21" s="8" t="inlineStr"/>
    </row>
    <row r="22">
      <c r="A22" s="8" t="inlineStr">
        <is>
          <t>BL-21</t>
        </is>
      </c>
      <c r="B22" s="8" t="inlineStr">
        <is>
          <t>Billing</t>
        </is>
      </c>
      <c r="C22" s="8" t="inlineStr">
        <is>
          <t>Bank reconciliation</t>
        </is>
      </c>
      <c r="D22" s="8" t="inlineStr">
        <is>
          <t>ใส่ transaction id แล้วพร้อมส่งบัญชี ✅ · ref ที่กรอกตอนอัปโหลดสลิปไม่ถูกดึงมาใช้</t>
        </is>
      </c>
      <c r="E22" s="15" t="inlineStr">
        <is>
          <t>⚠️ ผ่าน/มีข้อสังเกต</t>
        </is>
      </c>
      <c r="F22" s="16" t="inlineStr">
        <is>
          <t>Low</t>
        </is>
      </c>
      <c r="G22" s="8" t="inlineStr">
        <is>
          <t>🔧 ต้องแก้</t>
        </is>
      </c>
      <c r="H22" s="8" t="inlineStr">
        <is>
          <t>prefill ref จากสลิป</t>
        </is>
      </c>
      <c r="I22" s="8" t="inlineStr"/>
      <c r="J22" s="8" t="inlineStr"/>
    </row>
    <row r="23">
      <c r="A23" s="8" t="inlineStr">
        <is>
          <t>BL-22</t>
        </is>
      </c>
      <c r="B23" s="8" t="inlineStr">
        <is>
          <t>Billing</t>
        </is>
      </c>
      <c r="C23" s="8" t="inlineStr">
        <is>
          <t>สาขาใช้ brand Nockacademy แต่บัญชีธนาคารเป็น Liclass</t>
        </is>
      </c>
      <c r="D23" s="8" t="inlineStr">
        <is>
          <t>บัญชีผูกอัตโนมัติ แก้ในหน้าสาขาไม่ได้</t>
        </is>
      </c>
      <c r="E23" s="15" t="inlineStr">
        <is>
          <t>⚠️ ผ่าน/มีข้อสังเกต</t>
        </is>
      </c>
      <c r="F23" s="18" t="inlineStr">
        <is>
          <t>Medium</t>
        </is>
      </c>
      <c r="G23" s="8" t="inlineStr">
        <is>
          <t>🔍 ต้องตรวจสอบ</t>
        </is>
      </c>
      <c r="H23" s="8" t="inlineStr">
        <is>
          <t>ตรวจ mapping brand ↔ บัญชีธนาคาร ให้แก้ได้ต่อสาขา</t>
        </is>
      </c>
      <c r="I23" s="8" t="inlineStr"/>
      <c r="J23" s="8" t="inlineStr"/>
    </row>
    <row r="24">
      <c r="A24" s="8" t="inlineStr">
        <is>
          <t>BL-23</t>
        </is>
      </c>
      <c r="B24" s="8" t="inlineStr">
        <is>
          <t>Billing</t>
        </is>
      </c>
      <c r="C24" s="8" t="inlineStr">
        <is>
          <t>หน้าจอ Billing ขนาด ~1200px</t>
        </is>
      </c>
      <c r="D24" s="8" t="inlineStr">
        <is>
          <t>ตารางล้นแนวนอน คอลัมน์ Ref # โดนตัด</t>
        </is>
      </c>
      <c r="E24" s="15" t="inlineStr">
        <is>
          <t>⚠️ ผ่าน/มีข้อสังเกต</t>
        </is>
      </c>
      <c r="F24" s="16" t="inlineStr">
        <is>
          <t>Low</t>
        </is>
      </c>
      <c r="G24" s="8" t="inlineStr">
        <is>
          <t>🔧 ต้องแก้</t>
        </is>
      </c>
      <c r="H24" s="8" t="inlineStr">
        <is>
          <t>ให้ตาราง scroll ในกรอบ หรือซ่อนคอลัมน์รองบนจอแคบ</t>
        </is>
      </c>
      <c r="I24" s="8" t="inlineStr"/>
      <c r="J24" s="8" t="inlineStr"/>
    </row>
    <row r="25">
      <c r="A25" s="8" t="inlineStr">
        <is>
          <t>A1</t>
        </is>
      </c>
      <c r="B25" s="8" t="inlineStr">
        <is>
          <t>Class</t>
        </is>
      </c>
      <c r="C25" s="8" t="inlineStr">
        <is>
          <t>สร้าง Learning class วันเดียว → gen 8 สัปดาห์ ข้าม holiday</t>
        </is>
      </c>
      <c r="D25" s="8" t="inlineStr">
        <is>
          <t>7 sessions (ข้าม 13 ต.ค.)</t>
        </is>
      </c>
      <c r="E25" s="19" t="inlineStr">
        <is>
          <t>✅ ผ่าน</t>
        </is>
      </c>
      <c r="F25" s="8" t="inlineStr">
        <is>
          <t>—</t>
        </is>
      </c>
      <c r="G25" s="8" t="inlineStr">
        <is>
          <t>—</t>
        </is>
      </c>
      <c r="H25" s="8" t="inlineStr"/>
      <c r="I25" s="8" t="inlineStr"/>
      <c r="J25" s="8" t="inlineStr"/>
    </row>
    <row r="26">
      <c r="A26" s="8" t="inlineStr">
        <is>
          <t>A2</t>
        </is>
      </c>
      <c r="B26" s="8" t="inlineStr">
        <is>
          <t>Class</t>
        </is>
      </c>
      <c r="C26" s="8" t="inlineStr">
        <is>
          <t>เลือกหลายวัน / Add another day</t>
        </is>
      </c>
      <c r="D26" s="8" t="inlineStr">
        <is>
          <t>พ+พฤ+ศ → แยก 3 class · class วันนี้ gen 9 sessions (รวมวันนี้)</t>
        </is>
      </c>
      <c r="E26" s="19" t="inlineStr">
        <is>
          <t>✅ ผ่าน</t>
        </is>
      </c>
      <c r="F26" s="8" t="inlineStr">
        <is>
          <t>—</t>
        </is>
      </c>
      <c r="G26" s="8" t="inlineStr">
        <is>
          <t>—</t>
        </is>
      </c>
      <c r="H26" s="8" t="inlineStr"/>
      <c r="I26" s="8" t="inlineStr"/>
      <c r="J26" s="8" t="inlineStr"/>
    </row>
    <row r="27">
      <c r="A27" s="8" t="inlineStr">
        <is>
          <t>A3</t>
        </is>
      </c>
      <c r="B27" s="8" t="inlineStr">
        <is>
          <t>Class</t>
        </is>
      </c>
      <c r="C27" s="8" t="inlineStr">
        <is>
          <t>ครูต่างกันต่อแถว</t>
        </is>
      </c>
      <c r="D27" s="8" t="inlineStr">
        <is>
          <t>ทำได้ · ครูไม่ได้สอนวิชานั้นบังคับ Remarks (ดี) แต่ไม่บอกว่าแถวไหน · ปุ่ม Create disabled โดยไม่บอกเหตุผล</t>
        </is>
      </c>
      <c r="E27" s="15" t="inlineStr">
        <is>
          <t>⚠️ ผ่าน/มีข้อสังเกต</t>
        </is>
      </c>
      <c r="F27" s="16" t="inlineStr">
        <is>
          <t>Low</t>
        </is>
      </c>
      <c r="G27" s="8" t="inlineStr">
        <is>
          <t>🔧 ต้องแก้</t>
        </is>
      </c>
      <c r="H27" s="8" t="inlineStr">
        <is>
          <t>บอกแถวที่มีปัญหา + tooltip เหตุผลที่ปุ่ม disabled</t>
        </is>
      </c>
      <c r="I27" s="8" t="inlineStr"/>
      <c r="J27" s="8" t="inlineStr"/>
    </row>
    <row r="28">
      <c r="A28" s="8" t="inlineStr">
        <is>
          <t>A4</t>
        </is>
      </c>
      <c r="B28" s="8" t="inlineStr">
        <is>
          <t>Class</t>
        </is>
      </c>
      <c r="C28" s="8" t="inlineStr">
        <is>
          <t>คลาส Single รับคนเกิน</t>
        </is>
      </c>
      <c r="D28" s="8" t="inlineStr">
        <is>
          <t>คลาส Single รับนักเรียน 2 คนได้ · ข้อความยังบอก "ไม่เกิน 6" · เกรดคลาสกลายเป็น ป.1, ป.5</t>
        </is>
      </c>
      <c r="E28" s="17" t="inlineStr">
        <is>
          <t>🔴 บั๊ก</t>
        </is>
      </c>
      <c r="F28" s="13" t="inlineStr">
        <is>
          <t>High</t>
        </is>
      </c>
      <c r="G28" s="8" t="inlineStr">
        <is>
          <t>🔧 ต้องแก้</t>
        </is>
      </c>
      <c r="H28" s="8" t="inlineStr">
        <is>
          <t>บล็อกเมื่อเกินความจุตาม class type (Single=1, Group=6) ทั้ง UI และ server</t>
        </is>
      </c>
      <c r="I28" s="8" t="inlineStr"/>
      <c r="J28" s="8" t="inlineStr"/>
    </row>
    <row r="29">
      <c r="A29" s="8" t="inlineStr">
        <is>
          <t>A5</t>
        </is>
      </c>
      <c r="B29" s="8" t="inlineStr">
        <is>
          <t>Class</t>
        </is>
      </c>
      <c r="C29" s="8" t="inlineStr">
        <is>
          <t>ห้องเต็ม (สาขามี 2 ห้อง) → สร้างคลาสที่ 3 เวลาเดียวกัน</t>
        </is>
      </c>
      <c r="D29" s="8" t="inlineStr">
        <is>
          <t>ขึ้น "all 2 room(s) booked" แต่สร้างคลาสที่ 3 ได้ (ศ. 25 ก.ย. 11:00 มี 3 คลาส)</t>
        </is>
      </c>
      <c r="E29" s="17" t="inlineStr">
        <is>
          <t>🔴 บั๊ก</t>
        </is>
      </c>
      <c r="F29" s="13" t="inlineStr">
        <is>
          <t>High</t>
        </is>
      </c>
      <c r="G29" s="8" t="inlineStr">
        <is>
          <t>🔧 ต้องแก้</t>
        </is>
      </c>
      <c r="H29" s="8" t="inlineStr">
        <is>
          <t>ห้องเต็ม = บล็อก (หรือต้องมี override + เหตุผล)</t>
        </is>
      </c>
      <c r="I29" s="8" t="inlineStr"/>
      <c r="J29" s="8" t="inlineStr"/>
    </row>
    <row r="30">
      <c r="A30" s="8" t="inlineStr">
        <is>
          <t>A6</t>
        </is>
      </c>
      <c r="B30" s="8" t="inlineStr">
        <is>
          <t>Class</t>
        </is>
      </c>
      <c r="C30" s="8" t="inlineStr">
        <is>
          <t>ครูชนเวลา</t>
        </is>
      </c>
      <c r="D30" s="8" t="inlineStr">
        <is>
          <t>ถูกบล็อก ✅ · ต้องเทสซ้ำว่ามี toast แจ้งหรือไม่</t>
        </is>
      </c>
      <c r="E30" s="15" t="inlineStr">
        <is>
          <t>⚠️ ผ่าน/มีข้อสังเกต</t>
        </is>
      </c>
      <c r="F30" s="16" t="inlineStr">
        <is>
          <t>Low</t>
        </is>
      </c>
      <c r="G30" s="8" t="inlineStr">
        <is>
          <t>🔍 ต้องตรวจสอบ</t>
        </is>
      </c>
      <c r="H30" s="8" t="inlineStr">
        <is>
          <t>เทสซ้ำ toast</t>
        </is>
      </c>
      <c r="I30" s="8" t="inlineStr"/>
      <c r="J30" s="8" t="inlineStr"/>
    </row>
    <row r="31">
      <c r="A31" s="8" t="inlineStr">
        <is>
          <t>A7</t>
        </is>
      </c>
      <c r="B31" s="8" t="inlineStr">
        <is>
          <t>Class</t>
        </is>
      </c>
      <c r="C31" s="8" t="inlineStr">
        <is>
          <t>สร้างคลาสวันที่สาขาปิด</t>
        </is>
      </c>
      <c r="D31" s="8" t="inlineStr">
        <is>
          <t>เตือนแต่สร้างได้ · ช่วงเวลาในฟอร์มล็อก 09–20 ไม่อิงเวลาเปิดสาขา</t>
        </is>
      </c>
      <c r="E31" s="15" t="inlineStr">
        <is>
          <t>⚠️ ผ่าน/มีข้อสังเกต</t>
        </is>
      </c>
      <c r="F31" s="18" t="inlineStr">
        <is>
          <t>Medium</t>
        </is>
      </c>
      <c r="G31" s="8" t="inlineStr">
        <is>
          <t>❓ ต้องยืนยัน Business rule</t>
        </is>
      </c>
      <c r="H31" s="8" t="inlineStr">
        <is>
          <t>ตัดสินใจว่าจะบล็อกหรือแค่เตือน · ดึงเวลาเปิด-ปิดจริงของสาขามาใช้</t>
        </is>
      </c>
      <c r="I31" s="8" t="inlineStr"/>
      <c r="J31" s="8" t="inlineStr"/>
    </row>
    <row r="32">
      <c r="A32" s="8" t="inlineStr">
        <is>
          <t>A8</t>
        </is>
      </c>
      <c r="B32" s="8" t="inlineStr">
        <is>
          <t>Class</t>
        </is>
      </c>
      <c r="C32" s="8" t="inlineStr">
        <is>
          <t>Edit class: เปลี่ยนเวลา/วัน</t>
        </is>
      </c>
      <c r="D32" s="8" t="inlineStr">
        <is>
          <t>อนาคตเปลี่ยนถูก แต่ session วันนี้ที่จบแล้ว (มีเช็คชื่อ+summary) ถูกเปลี่ยนเวลาด้วย = แก้ประวัติย้อนหลัง</t>
        </is>
      </c>
      <c r="E32" s="17" t="inlineStr">
        <is>
          <t>🔴 บั๊ก</t>
        </is>
      </c>
      <c r="F32" s="9" t="inlineStr">
        <is>
          <t>Critical</t>
        </is>
      </c>
      <c r="G32" s="8" t="inlineStr">
        <is>
          <t>🔧 ต้องแก้</t>
        </is>
      </c>
      <c r="H32" s="8" t="inlineStr">
        <is>
          <t>ห้ามแก้ session ที่ Ended/Closed หรือมีเช็คชื่อแล้ว</t>
        </is>
      </c>
      <c r="I32" s="8" t="inlineStr"/>
      <c r="J32" s="8" t="inlineStr"/>
    </row>
    <row r="33">
      <c r="A33" s="8" t="inlineStr">
        <is>
          <t>A9</t>
        </is>
      </c>
      <c r="B33" s="8" t="inlineStr">
        <is>
          <t>Class</t>
        </is>
      </c>
      <c r="C33" s="8" t="inlineStr">
        <is>
          <t>Edit class: เปลี่ยนครู</t>
        </is>
      </c>
      <c r="D33" s="8" t="inlineStr">
        <is>
          <t>ถาม "Update sessions?" ✅ · session customized คงครูเดิม ✅ · Calendar แสดงครูเป็น UUID</t>
        </is>
      </c>
      <c r="E33" s="17" t="inlineStr">
        <is>
          <t>🔴 บั๊ก</t>
        </is>
      </c>
      <c r="F33" s="18" t="inlineStr">
        <is>
          <t>Medium</t>
        </is>
      </c>
      <c r="G33" s="8" t="inlineStr">
        <is>
          <t>🔧 ต้องแก้</t>
        </is>
      </c>
      <c r="H33" s="8" t="inlineStr">
        <is>
          <t>แสดงชื่อครูจากตาราง staff (รวมคนที่ถูกลบ → "ชื่อ (ออกแล้ว)")</t>
        </is>
      </c>
      <c r="I33" s="8" t="inlineStr"/>
      <c r="J33" s="8" t="inlineStr"/>
    </row>
    <row r="34">
      <c r="A34" s="8" t="inlineStr">
        <is>
          <t>A10</t>
        </is>
      </c>
      <c r="B34" s="8" t="inlineStr">
        <is>
          <t>Class</t>
        </is>
      </c>
      <c r="C34" s="8" t="inlineStr">
        <is>
          <t>เพิ่ม holiday หลังสร้างคลาส</t>
        </is>
      </c>
      <c r="D34" s="8" t="inlineStr">
        <is>
          <t>session ยังอยู่ + ป้าย Holiday · นักเรียนยังถูกนัด · ไม่มีคำเตือน/notification</t>
        </is>
      </c>
      <c r="E34" s="15" t="inlineStr">
        <is>
          <t>⚠️ ผ่าน/มีข้อสังเกต</t>
        </is>
      </c>
      <c r="F34" s="18" t="inlineStr">
        <is>
          <t>Medium</t>
        </is>
      </c>
      <c r="G34" s="8" t="inlineStr">
        <is>
          <t>❓ ต้องยืนยัน Business rule</t>
        </is>
      </c>
      <c r="H34" s="8" t="inlineStr">
        <is>
          <t>ตอนเพิ่ม holiday ให้แสดงรายการ session ที่กระทบ + ให้เลือกยกเลิก/ย้าย + แจ้งผู้ปกครอง</t>
        </is>
      </c>
      <c r="I34" s="8" t="inlineStr"/>
      <c r="J34" s="8" t="inlineStr"/>
    </row>
    <row r="35">
      <c r="A35" s="8" t="inlineStr">
        <is>
          <t>A11</t>
        </is>
      </c>
      <c r="B35" s="8" t="inlineStr">
        <is>
          <t>Class</t>
        </is>
      </c>
      <c r="C35" s="8" t="inlineStr">
        <is>
          <t>Deactivate class</t>
        </is>
      </c>
      <c r="D35" s="8" t="inlineStr">
        <is>
          <t>ไม่มี confirm · session อนาคตยัง Upcoming ครบ · ยังถูกเสนอเป็นปลายทาง Reschedule</t>
        </is>
      </c>
      <c r="E35" s="17" t="inlineStr">
        <is>
          <t>🔴 บั๊ก</t>
        </is>
      </c>
      <c r="F35" s="13" t="inlineStr">
        <is>
          <t>High</t>
        </is>
      </c>
      <c r="G35" s="8" t="inlineStr">
        <is>
          <t>🔧 ต้องแก้</t>
        </is>
      </c>
      <c r="H35" s="8" t="inlineStr">
        <is>
          <t>confirm + ยกเลิก session อนาคต (หรือถาม) + ตัดออกจากตัวเลือก Reschedule</t>
        </is>
      </c>
      <c r="I35" s="8" t="inlineStr"/>
      <c r="J35" s="8" t="inlineStr"/>
    </row>
    <row r="36">
      <c r="A36" s="8" t="inlineStr">
        <is>
          <t>A12</t>
        </is>
      </c>
      <c r="B36" s="8" t="inlineStr">
        <is>
          <t>Class</t>
        </is>
      </c>
      <c r="C36" s="8" t="inlineStr">
        <is>
          <t>Class for = Test/Interview (ครั้งเดียว)</t>
        </is>
      </c>
      <c r="D36" s="8" t="inlineStr">
        <is>
          <t>สร้างได้ 1 session ✅ · แสดงเหมือนคลาสรายสัปดาห์ ("Fri · 11:00") และนับใน Recurring classes</t>
        </is>
      </c>
      <c r="E36" s="15" t="inlineStr">
        <is>
          <t>⚠️ ผ่าน/มีข้อสังเกต</t>
        </is>
      </c>
      <c r="F36" s="16" t="inlineStr">
        <is>
          <t>Low</t>
        </is>
      </c>
      <c r="G36" s="8" t="inlineStr">
        <is>
          <t>🔧 ต้องแก้</t>
        </is>
      </c>
      <c r="H36" s="8" t="inlineStr">
        <is>
          <t>แสดงวันที่เต็ม + ไม่นับเป็น recurring</t>
        </is>
      </c>
      <c r="I36" s="8" t="inlineStr"/>
      <c r="J36" s="8" t="inlineStr"/>
    </row>
    <row r="37">
      <c r="A37" s="8" t="inlineStr">
        <is>
          <t>A13</t>
        </is>
      </c>
      <c r="B37" s="8" t="inlineStr">
        <is>
          <t>Class</t>
        </is>
      </c>
      <c r="C37" s="8" t="inlineStr">
        <is>
          <t>Add sessions จากแท็บ Sessions ของคลาส</t>
        </is>
      </c>
      <c r="D37" s="8" t="inlineStr">
        <is>
          <t>+2 → ต่อท้าย 19, 26 พ.ย. + toast</t>
        </is>
      </c>
      <c r="E37" s="19" t="inlineStr">
        <is>
          <t>✅ ผ่าน</t>
        </is>
      </c>
      <c r="F37" s="8" t="inlineStr">
        <is>
          <t>—</t>
        </is>
      </c>
      <c r="G37" s="8" t="inlineStr">
        <is>
          <t>—</t>
        </is>
      </c>
      <c r="H37" s="8" t="inlineStr"/>
      <c r="I37" s="8" t="inlineStr"/>
      <c r="J37" s="8" t="inlineStr"/>
    </row>
    <row r="38">
      <c r="A38" s="8" t="inlineStr">
        <is>
          <t>B1</t>
        </is>
      </c>
      <c r="B38" s="8" t="inlineStr">
        <is>
          <t>Session</t>
        </is>
      </c>
      <c r="C38" s="8" t="inlineStr">
        <is>
          <t>Add session แบบผูกคลาส</t>
        </is>
      </c>
      <c r="D38" s="8" t="inlineStr">
        <is>
          <t>ไม่ดึงนักเรียนของคลาสมาให้ (0 students)</t>
        </is>
      </c>
      <c r="E38" s="15" t="inlineStr">
        <is>
          <t>⚠️ ผ่าน/มีข้อสังเกต</t>
        </is>
      </c>
      <c r="F38" s="18" t="inlineStr">
        <is>
          <t>Medium</t>
        </is>
      </c>
      <c r="G38" s="8" t="inlineStr">
        <is>
          <t>🔧 ต้องแก้</t>
        </is>
      </c>
      <c r="H38" s="8" t="inlineStr">
        <is>
          <t>ดึงนักเรียนของคลาสมาเป็นค่าเริ่มต้น</t>
        </is>
      </c>
      <c r="I38" s="8" t="inlineStr"/>
      <c r="J38" s="8" t="inlineStr"/>
    </row>
    <row r="39">
      <c r="A39" s="8" t="inlineStr">
        <is>
          <t>B2</t>
        </is>
      </c>
      <c r="B39" s="8" t="inlineStr">
        <is>
          <t>Session</t>
        </is>
      </c>
      <c r="C39" s="8" t="inlineStr">
        <is>
          <t>Add session เดี่ยว / Trial</t>
        </is>
      </c>
      <c r="D39" s="8" t="inlineStr">
        <is>
          <t>สร้างได้ มีป้าย Trial · เช็คชื่อ+summary ได้ · สร้างนอกเวลาเปิดสาขาได้ (แค่เตือน)</t>
        </is>
      </c>
      <c r="E39" s="15" t="inlineStr">
        <is>
          <t>⚠️ ผ่าน/มีข้อสังเกต</t>
        </is>
      </c>
      <c r="F39" s="16" t="inlineStr">
        <is>
          <t>Low</t>
        </is>
      </c>
      <c r="G39" s="8" t="inlineStr">
        <is>
          <t>❓ ต้องยืนยัน Business rule</t>
        </is>
      </c>
      <c r="H39" s="8" t="inlineStr">
        <is>
          <t>ตัดสินใจบล็อก/เตือนนอกเวลาเปิด</t>
        </is>
      </c>
      <c r="I39" s="8" t="inlineStr"/>
      <c r="J39" s="8" t="inlineStr"/>
    </row>
    <row r="40">
      <c r="A40" s="8" t="inlineStr">
        <is>
          <t>B3</t>
        </is>
      </c>
      <c r="B40" s="8" t="inlineStr">
        <is>
          <t>Session</t>
        </is>
      </c>
      <c r="C40" s="8" t="inlineStr">
        <is>
          <t>Edit session เฉพาะครั้ง (เปลี่ยนเวลา)</t>
        </is>
      </c>
      <c r="D40" s="8" t="inlineStr">
        <is>
          <t>เลือก "Just this session" แล้วเกิด session ซ้ำ (1 ต.ค. มีทั้ง 16:00 เดิม + 17:00 ใหม่) · ข้อความยืนยันแสดงเวลาใหม่ผิด</t>
        </is>
      </c>
      <c r="E40" s="17" t="inlineStr">
        <is>
          <t>🔴 บั๊ก</t>
        </is>
      </c>
      <c r="F40" s="9" t="inlineStr">
        <is>
          <t>Critical</t>
        </is>
      </c>
      <c r="G40" s="8" t="inlineStr">
        <is>
          <t>🔧 ต้องแก้</t>
        </is>
      </c>
      <c r="H40" s="8" t="inlineStr">
        <is>
          <t>Just this session ต้องแก้ record เดิม ไม่ใช่สร้างใหม่ · ลบ session ซ้ำที่เกิดแล้ว</t>
        </is>
      </c>
      <c r="I40" s="8" t="inlineStr"/>
      <c r="J40" s="8" t="inlineStr"/>
    </row>
    <row r="41">
      <c r="A41" s="8" t="inlineStr">
        <is>
          <t>B4</t>
        </is>
      </c>
      <c r="B41" s="8" t="inlineStr">
        <is>
          <t>Session</t>
        </is>
      </c>
      <c r="C41" s="8" t="inlineStr">
        <is>
          <t>Delete session ที่มีนักเรียน</t>
        </is>
      </c>
      <c r="D41" s="8" t="inlineStr">
        <is>
          <t>มี notification ✅ · dialog ไม่บอกจำนวนนักเรียน</t>
        </is>
      </c>
      <c r="E41" s="19" t="inlineStr">
        <is>
          <t>✅ ผ่าน</t>
        </is>
      </c>
      <c r="F41" s="16" t="inlineStr">
        <is>
          <t>Low</t>
        </is>
      </c>
      <c r="G41" s="8" t="inlineStr">
        <is>
          <t>—</t>
        </is>
      </c>
      <c r="H41" s="8" t="inlineStr">
        <is>
          <t>(เสริม) บอกจำนวนนักเรียนใน dialog</t>
        </is>
      </c>
      <c r="I41" s="8" t="inlineStr"/>
      <c r="J41" s="8" t="inlineStr"/>
    </row>
    <row r="42">
      <c r="A42" s="8" t="inlineStr">
        <is>
          <t>B5</t>
        </is>
      </c>
      <c r="B42" s="8" t="inlineStr">
        <is>
          <t>Session</t>
        </is>
      </c>
      <c r="C42" s="8" t="inlineStr">
        <is>
          <t>สถานะตามเวลา Upcoming→Live→Ended→Closed</t>
        </is>
      </c>
      <c r="D42" s="8" t="inlineStr">
        <is>
          <t>ไม่เปลี่ยนตามเวลา · กดเช็คชื่อแล้วค้าง Live หลายชม. · แสดงเวลา ISO UTC ดิบ</t>
        </is>
      </c>
      <c r="E42" s="17" t="inlineStr">
        <is>
          <t>🔴 บั๊ก</t>
        </is>
      </c>
      <c r="F42" s="13" t="inlineStr">
        <is>
          <t>High</t>
        </is>
      </c>
      <c r="G42" s="8" t="inlineStr">
        <is>
          <t>🔧 ต้องแก้</t>
        </is>
      </c>
      <c r="H42" s="8" t="inlineStr">
        <is>
          <t>คำนวณสถานะจากเวลาจริง (timezone Asia/Bangkok) · format เวลาให้คนอ่าน</t>
        </is>
      </c>
      <c r="I42" s="8" t="inlineStr"/>
      <c r="J42" s="8" t="inlineStr"/>
    </row>
    <row r="43">
      <c r="A43" s="8" t="inlineStr">
        <is>
          <t>B6</t>
        </is>
      </c>
      <c r="B43" s="8" t="inlineStr">
        <is>
          <t>Session</t>
        </is>
      </c>
      <c r="C43" s="8" t="inlineStr">
        <is>
          <t>สถานะ Closed</t>
        </is>
      </c>
      <c r="D43" s="8" t="inlineStr">
        <is>
          <t>ปิดอัตโนมัติข้ามคืน + ล็อกเช็คชื่อ ✅ · ข้อความ "start 15:52 · end 09:00" ไม่มีวันที่</t>
        </is>
      </c>
      <c r="E43" s="15" t="inlineStr">
        <is>
          <t>⚠️ ผ่าน/มีข้อสังเกต</t>
        </is>
      </c>
      <c r="F43" s="16" t="inlineStr">
        <is>
          <t>Low</t>
        </is>
      </c>
      <c r="G43" s="8" t="inlineStr">
        <is>
          <t>🔧 ต้องแก้</t>
        </is>
      </c>
      <c r="H43" s="8" t="inlineStr">
        <is>
          <t>แสดงวันที่คู่เวลา</t>
        </is>
      </c>
      <c r="I43" s="8" t="inlineStr"/>
      <c r="J43" s="8" t="inlineStr"/>
    </row>
    <row r="44">
      <c r="A44" s="8" t="inlineStr">
        <is>
          <t>C1</t>
        </is>
      </c>
      <c r="B44" s="8" t="inlineStr">
        <is>
          <t>Attendance</t>
        </is>
      </c>
      <c r="C44" s="8" t="inlineStr">
        <is>
          <t>เช็คชื่อครั้งแรก</t>
        </is>
      </c>
      <c r="D44" s="8" t="inlineStr">
        <is>
          <t>นอกเวลาเรียน: คลิกแรก = Start class (ไม่บันทึก) ต้องกดซ้ำ · ไม่มี toast</t>
        </is>
      </c>
      <c r="E44" s="17" t="inlineStr">
        <is>
          <t>🔴 บั๊ก</t>
        </is>
      </c>
      <c r="F44" s="13" t="inlineStr">
        <is>
          <t>High</t>
        </is>
      </c>
      <c r="G44" s="8" t="inlineStr">
        <is>
          <t>🔧 ต้องแก้</t>
        </is>
      </c>
      <c r="H44" s="8" t="inlineStr">
        <is>
          <t>คลิกเดียวบันทึกเสมอ (start class อัตโนมัติ) + toast ยืนยัน</t>
        </is>
      </c>
      <c r="I44" s="8" t="inlineStr"/>
      <c r="J44" s="8" t="inlineStr"/>
    </row>
    <row r="45">
      <c r="A45" s="8" t="inlineStr">
        <is>
          <t>C2</t>
        </is>
      </c>
      <c r="B45" s="8" t="inlineStr">
        <is>
          <t>Attendance</t>
        </is>
      </c>
      <c r="C45" s="8" t="inlineStr">
        <is>
          <t>เช็คชื่อ session อนาคต</t>
        </is>
      </c>
      <c r="D45" s="8" t="inlineStr">
        <is>
          <t>ทำได้ + สถานะ session เพี้ยน (อนาคตกลายเป็น Ended/Live)</t>
        </is>
      </c>
      <c r="E45" s="17" t="inlineStr">
        <is>
          <t>🔴 บั๊ก</t>
        </is>
      </c>
      <c r="F45" s="9" t="inlineStr">
        <is>
          <t>Critical</t>
        </is>
      </c>
      <c r="G45" s="8" t="inlineStr">
        <is>
          <t>🔧 ต้องแก้</t>
        </is>
      </c>
      <c r="H45" s="8" t="inlineStr">
        <is>
          <t>ห้ามเช็คชื่อก่อนวันเรียน (ยกเว้น Leave ล่วงหน้า ที่ไม่เปลี่ยนสถานะ session)</t>
        </is>
      </c>
      <c r="I45" s="8" t="inlineStr"/>
      <c r="J45" s="8" t="inlineStr"/>
    </row>
    <row r="46">
      <c r="A46" s="8" t="inlineStr">
        <is>
          <t>C3</t>
        </is>
      </c>
      <c r="B46" s="8" t="inlineStr">
        <is>
          <t>Attendance</t>
        </is>
      </c>
      <c r="C46" s="8" t="inlineStr">
        <is>
          <t>เปลี่ยน Present ↔ Absent ↔ Leave</t>
        </is>
      </c>
      <c r="D46" s="8" t="inlineStr">
        <is>
          <t>เปลี่ยนได้ · summary หายเมื่อเปลี่ยนเป็น Absent · ยกเลิกกลับเป็น "ยังไม่เช็ค" ไม่ได้</t>
        </is>
      </c>
      <c r="E46" s="15" t="inlineStr">
        <is>
          <t>⚠️ ผ่าน/มีข้อสังเกต</t>
        </is>
      </c>
      <c r="F46" s="18" t="inlineStr">
        <is>
          <t>Medium</t>
        </is>
      </c>
      <c r="G46" s="8" t="inlineStr">
        <is>
          <t>🔧 ต้องแก้</t>
        </is>
      </c>
      <c r="H46" s="8" t="inlineStr">
        <is>
          <t>เพิ่ม Undo/Clear · เตือนก่อนลบ summary</t>
        </is>
      </c>
      <c r="I46" s="8" t="inlineStr"/>
      <c r="J46" s="8" t="inlineStr"/>
    </row>
    <row r="47">
      <c r="A47" s="8" t="inlineStr">
        <is>
          <t>C4</t>
        </is>
      </c>
      <c r="B47" s="8" t="inlineStr">
        <is>
          <t>Attendance</t>
        </is>
      </c>
      <c r="C47" s="8" t="inlineStr">
        <is>
          <t>นักเรียนแบบนับคาบ: Present หักคาบ</t>
        </is>
      </c>
      <c r="D47" s="8" t="inlineStr">
        <is>
          <t>หักถูก 3→2 ✅ · ช่อง sessions ตอน Add Student default 0 · ตัวเลขคาบ 3 หน้าความหมายต่างกัน (1/8, 0/3, 2 left)</t>
        </is>
      </c>
      <c r="E47" s="15" t="inlineStr">
        <is>
          <t>⚠️ ผ่าน/มีข้อสังเกต</t>
        </is>
      </c>
      <c r="F47" s="18" t="inlineStr">
        <is>
          <t>Medium</t>
        </is>
      </c>
      <c r="G47" s="8" t="inlineStr">
        <is>
          <t>🔧 ต้องแก้</t>
        </is>
      </c>
      <c r="H47" s="8" t="inlineStr">
        <is>
          <t>default ตามแพ็กเกจที่ซื้อ · ใช้คำ/ตัวเลขชุดเดียวกันทุกหน้า</t>
        </is>
      </c>
      <c r="I47" s="8" t="inlineStr"/>
      <c r="J47" s="8" t="inlineStr"/>
    </row>
    <row r="48">
      <c r="A48" s="8" t="inlineStr">
        <is>
          <t>C5</t>
        </is>
      </c>
      <c r="B48" s="8" t="inlineStr">
        <is>
          <t>Attendance</t>
        </is>
      </c>
      <c r="C48" s="8" t="inlineStr">
        <is>
          <t>Leave เกินโควตา</t>
        </is>
      </c>
      <c r="D48" s="8" t="inlineStr">
        <is>
          <t>แพ็ก 3 คาบ = โควตาลา 0 · ไม่รู้สูตร</t>
        </is>
      </c>
      <c r="E48" s="15" t="inlineStr">
        <is>
          <t>⚠️ ผ่าน/มีข้อสังเกต</t>
        </is>
      </c>
      <c r="F48" s="18" t="inlineStr">
        <is>
          <t>Medium</t>
        </is>
      </c>
      <c r="G48" s="8" t="inlineStr">
        <is>
          <t>❓ ต้องยืนยัน Business rule</t>
        </is>
      </c>
      <c r="H48" s="8" t="inlineStr">
        <is>
          <t>Dev ยืนยันสูตรโควตาลา + แสดงโควตาคงเหลือ</t>
        </is>
      </c>
      <c r="I48" s="8" t="inlineStr"/>
      <c r="J48" s="8" t="inlineStr"/>
    </row>
    <row r="49">
      <c r="A49" s="8" t="inlineStr">
        <is>
          <t>C6</t>
        </is>
      </c>
      <c r="B49" s="8" t="inlineStr">
        <is>
          <t>Attendance</t>
        </is>
      </c>
      <c r="C49" s="8" t="inlineStr">
        <is>
          <t>ไม่มีคาบเหลือ → ปุ่มล็อก</t>
        </is>
      </c>
      <c r="D49" s="8" t="inlineStr">
        <is>
          <t>"No sessions remaining"</t>
        </is>
      </c>
      <c r="E49" s="19" t="inlineStr">
        <is>
          <t>✅ ผ่าน</t>
        </is>
      </c>
      <c r="F49" s="8" t="inlineStr">
        <is>
          <t>—</t>
        </is>
      </c>
      <c r="G49" s="8" t="inlineStr">
        <is>
          <t>—</t>
        </is>
      </c>
      <c r="H49" s="8" t="inlineStr"/>
      <c r="I49" s="8" t="inlineStr"/>
      <c r="J49" s="8" t="inlineStr"/>
    </row>
    <row r="50">
      <c r="A50" s="8" t="inlineStr">
        <is>
          <t>C7</t>
        </is>
      </c>
      <c r="B50" s="8" t="inlineStr">
        <is>
          <t>Attendance</t>
        </is>
      </c>
      <c r="C50" s="8" t="inlineStr">
        <is>
          <t>Reschedule ไป session อื่น</t>
        </is>
      </c>
      <c r="D50" s="8" t="inlineStr">
        <is>
          <t>ย้ายสำเร็จ ✅ · ย้ายเข้า session ของคลาสที่ Deactivate ได้ · ต้นทางยังนับ 2 students · หน้า Attendance = coming soon</t>
        </is>
      </c>
      <c r="E50" s="17" t="inlineStr">
        <is>
          <t>🔴 บั๊ก</t>
        </is>
      </c>
      <c r="F50" s="18" t="inlineStr">
        <is>
          <t>Medium</t>
        </is>
      </c>
      <c r="G50" s="8" t="inlineStr">
        <is>
          <t>🔧 ต้องแก้</t>
        </is>
      </c>
      <c r="H50" s="8" t="inlineStr">
        <is>
          <t>ตัดคลาส inactive ออก · อัปเดตจำนวนต้นทาง · เปิด Reschedule ในหน้า Attendance</t>
        </is>
      </c>
      <c r="I50" s="8" t="inlineStr"/>
      <c r="J50" s="8" t="inlineStr"/>
    </row>
    <row r="51">
      <c r="A51" s="8" t="inlineStr">
        <is>
          <t>C8</t>
        </is>
      </c>
      <c r="B51" s="8" t="inlineStr">
        <is>
          <t>Attendance</t>
        </is>
      </c>
      <c r="C51" s="8" t="inlineStr">
        <is>
          <t>การ์ดสรุปตามช่วงวันที่</t>
        </is>
      </c>
      <c r="D51" s="8" t="inlineStr">
        <is>
          <t>ไม่กรองตามช่วง (นับของนอกสัปดาห์)</t>
        </is>
      </c>
      <c r="E51" s="17" t="inlineStr">
        <is>
          <t>🔴 บั๊ก</t>
        </is>
      </c>
      <c r="F51" s="18" t="inlineStr">
        <is>
          <t>Medium</t>
        </is>
      </c>
      <c r="G51" s="8" t="inlineStr">
        <is>
          <t>🔧 ต้องแก้</t>
        </is>
      </c>
      <c r="H51" s="8" t="inlineStr">
        <is>
          <t>query ตามช่วงวันที่ที่เลือก</t>
        </is>
      </c>
      <c r="I51" s="8" t="inlineStr"/>
      <c r="J51" s="8" t="inlineStr"/>
    </row>
    <row r="52">
      <c r="A52" s="8" t="inlineStr">
        <is>
          <t>C9</t>
        </is>
      </c>
      <c r="B52" s="8" t="inlineStr">
        <is>
          <t>Attendance</t>
        </is>
      </c>
      <c r="C52" s="8" t="inlineStr">
        <is>
          <t>Filter วิชา</t>
        </is>
      </c>
      <c r="D52" s="8" t="inlineStr">
        <is>
          <t>เป็นข้อมูล mock ไม่ใช่วิชาจริง</t>
        </is>
      </c>
      <c r="E52" s="15" t="inlineStr">
        <is>
          <t>⚠️ ผ่าน/มีข้อสังเกต</t>
        </is>
      </c>
      <c r="F52" s="16" t="inlineStr">
        <is>
          <t>Low</t>
        </is>
      </c>
      <c r="G52" s="8" t="inlineStr">
        <is>
          <t>🔧 ต้องแก้</t>
        </is>
      </c>
      <c r="H52" s="8" t="inlineStr">
        <is>
          <t>ดึงวิชาจากสาขา</t>
        </is>
      </c>
      <c r="I52" s="8" t="inlineStr"/>
      <c r="J52" s="8" t="inlineStr"/>
    </row>
    <row r="53">
      <c r="A53" s="8" t="inlineStr">
        <is>
          <t>D1</t>
        </is>
      </c>
      <c r="B53" s="8" t="inlineStr">
        <is>
          <t>Summary</t>
        </is>
      </c>
      <c r="C53" s="8" t="inlineStr">
        <is>
          <t>เกิดช่อง summary เฉพาะคน Present</t>
        </is>
      </c>
      <c r="D53" s="8" t="inlineStr">
        <is>
          <t>ถูกต้อง</t>
        </is>
      </c>
      <c r="E53" s="19" t="inlineStr">
        <is>
          <t>✅ ผ่าน</t>
        </is>
      </c>
      <c r="F53" s="8" t="inlineStr">
        <is>
          <t>—</t>
        </is>
      </c>
      <c r="G53" s="8" t="inlineStr">
        <is>
          <t>—</t>
        </is>
      </c>
      <c r="H53" s="8" t="inlineStr"/>
      <c r="I53" s="8" t="inlineStr"/>
      <c r="J53" s="8" t="inlineStr"/>
    </row>
    <row r="54">
      <c r="A54" s="8" t="inlineStr">
        <is>
          <t>D2</t>
        </is>
      </c>
      <c r="B54" s="8" t="inlineStr">
        <is>
          <t>Summary</t>
        </is>
      </c>
      <c r="C54" s="8" t="inlineStr">
        <is>
          <t>Save Draft → Submit → Approve</t>
        </is>
      </c>
      <c r="D54" s="8" t="inlineStr">
        <is>
          <t>ถูกต้อง</t>
        </is>
      </c>
      <c r="E54" s="19" t="inlineStr">
        <is>
          <t>✅ ผ่าน</t>
        </is>
      </c>
      <c r="F54" s="8" t="inlineStr">
        <is>
          <t>—</t>
        </is>
      </c>
      <c r="G54" s="8" t="inlineStr">
        <is>
          <t>—</t>
        </is>
      </c>
      <c r="H54" s="8" t="inlineStr"/>
      <c r="I54" s="8" t="inlineStr"/>
      <c r="J54" s="8" t="inlineStr"/>
    </row>
    <row r="55">
      <c r="A55" s="8" t="inlineStr">
        <is>
          <t>D3</t>
        </is>
      </c>
      <c r="B55" s="8" t="inlineStr">
        <is>
          <t>Summary</t>
        </is>
      </c>
      <c r="C55" s="8" t="inlineStr">
        <is>
          <t>Request changes → แก้ → Submit ใหม่</t>
        </is>
      </c>
      <c r="D55" s="8" t="inlineStr">
        <is>
          <t>ถูกต้อง</t>
        </is>
      </c>
      <c r="E55" s="19" t="inlineStr">
        <is>
          <t>✅ ผ่าน</t>
        </is>
      </c>
      <c r="F55" s="8" t="inlineStr">
        <is>
          <t>—</t>
        </is>
      </c>
      <c r="G55" s="8" t="inlineStr">
        <is>
          <t>—</t>
        </is>
      </c>
      <c r="H55" s="8" t="inlineStr"/>
      <c r="I55" s="8" t="inlineStr"/>
      <c r="J55" s="8" t="inlineStr"/>
    </row>
    <row r="56">
      <c r="A56" s="8" t="inlineStr">
        <is>
          <t>D4</t>
        </is>
      </c>
      <c r="B56" s="8" t="inlineStr">
        <is>
          <t>Summary</t>
        </is>
      </c>
      <c r="C56" s="8" t="inlineStr">
        <is>
          <t>แก้ summary หลัง Approve</t>
        </is>
      </c>
      <c r="D56" s="8" t="inlineStr">
        <is>
          <t>ข้อความ read-only ต้อง Request changes → แก้ → Resubmit → Approve · Director ทำเองได้ทั้งวง (แก้แทนครู + อนุมัติตัวเอง) ไม่มีร่องรอยว่าใครแก้</t>
        </is>
      </c>
      <c r="E56" s="15" t="inlineStr">
        <is>
          <t>⚠️ ผ่าน/มีข้อสังเกต</t>
        </is>
      </c>
      <c r="F56" s="18" t="inlineStr">
        <is>
          <t>Medium</t>
        </is>
      </c>
      <c r="G56" s="8" t="inlineStr">
        <is>
          <t>❓ ต้องยืนยัน Business rule</t>
        </is>
      </c>
      <c r="H56" s="8" t="inlineStr">
        <is>
          <t>เก็บ history ว่าใครแก้ข้อความ · ห้ามคนแก้อนุมัติงานตัวเอง · กรณีส่งผู้ปกครองแล้วยังไม่ได้เทส</t>
        </is>
      </c>
      <c r="I56" s="8" t="inlineStr"/>
      <c r="J56" s="8" t="inlineStr"/>
    </row>
    <row r="57">
      <c r="A57" s="8" t="inlineStr">
        <is>
          <t>D5</t>
        </is>
      </c>
      <c r="B57" s="8" t="inlineStr">
        <is>
          <t>Summary</t>
        </is>
      </c>
      <c r="C57" s="8" t="inlineStr">
        <is>
          <t>Send to parent (ไม่มี LINE)</t>
        </is>
      </c>
      <c r="D57" s="8" t="inlineStr">
        <is>
          <t>ส่งได้ขณะยัง Awaiting approval (ข้าม approve) · ไม่มี confirm · ขึ้น Sent ทั้งที่ไม่มี LINE</t>
        </is>
      </c>
      <c r="E57" s="17" t="inlineStr">
        <is>
          <t>🔴 บั๊ก</t>
        </is>
      </c>
      <c r="F57" s="13" t="inlineStr">
        <is>
          <t>High</t>
        </is>
      </c>
      <c r="G57" s="8" t="inlineStr">
        <is>
          <t>🔧 ต้องแก้</t>
        </is>
      </c>
      <c r="H57" s="8" t="inlineStr">
        <is>
          <t>ซ่อนปุ่ม Send จนกว่าจะ Approved · confirm ก่อนส่ง · สถานะ "ยังไม่ผูก LINE" แทน Sent</t>
        </is>
      </c>
      <c r="I57" s="8" t="inlineStr"/>
      <c r="J57" s="8" t="inlineStr"/>
    </row>
    <row r="58">
      <c r="A58" s="8" t="inlineStr">
        <is>
          <t>D6</t>
        </is>
      </c>
      <c r="B58" s="8" t="inlineStr">
        <is>
          <t>Summary</t>
        </is>
      </c>
      <c r="C58" s="8" t="inlineStr">
        <is>
          <t>ตัวนับ Not written yet / การ์ดสรุป</t>
        </is>
      </c>
      <c r="D58" s="8" t="inlineStr">
        <is>
          <t>การ์ดไม่กรองตามช่วงวันที่ · รายการเดียวแสดงทั้ง Sent + Parent not linked</t>
        </is>
      </c>
      <c r="E58" s="15" t="inlineStr">
        <is>
          <t>⚠️ ผ่าน/มีข้อสังเกต</t>
        </is>
      </c>
      <c r="F58" s="18" t="inlineStr">
        <is>
          <t>Medium</t>
        </is>
      </c>
      <c r="G58" s="8" t="inlineStr">
        <is>
          <t>🔧 ต้องแก้</t>
        </is>
      </c>
      <c r="H58" s="8" t="inlineStr">
        <is>
          <t>กรองตามช่วง · แก้สถานะให้สอดคล้อง</t>
        </is>
      </c>
      <c r="I58" s="8" t="inlineStr"/>
      <c r="J58" s="8" t="inlineStr"/>
    </row>
    <row r="59">
      <c r="A59" s="8" t="inlineStr">
        <is>
          <t>D7</t>
        </is>
      </c>
      <c r="B59" s="8" t="inlineStr">
        <is>
          <t>Summary</t>
        </is>
      </c>
      <c r="C59" s="8" t="inlineStr">
        <is>
          <t>ครูเขียน → Director approve</t>
        </is>
      </c>
      <c r="D59" s="8" t="inlineStr">
        <is>
          <t>ผ่านทั้งสองฝั่ง + toast ถูก · ปุ่ม Send เปลี่ยนเป็น "Sending…" ระหว่างกด Approve (ชวนเข้าใจผิด) · Director แก้ข้อความครูได้ก่อน Approve · หน้า session "start 09:07 · end 09:07"</t>
        </is>
      </c>
      <c r="E59" s="15" t="inlineStr">
        <is>
          <t>⚠️ ผ่าน/มีข้อสังเกต</t>
        </is>
      </c>
      <c r="F59" s="16" t="inlineStr">
        <is>
          <t>Low</t>
        </is>
      </c>
      <c r="G59" s="8" t="inlineStr">
        <is>
          <t>🔧 ต้องแก้</t>
        </is>
      </c>
      <c r="H59" s="8" t="inlineStr">
        <is>
          <t>loading state เฉพาะปุ่มที่กด · บันทึกเวลาเริ่ม/จบให้ถูก</t>
        </is>
      </c>
      <c r="I59" s="8" t="inlineStr"/>
      <c r="J59" s="8" t="inlineStr"/>
    </row>
    <row r="60">
      <c r="A60" s="8" t="inlineStr">
        <is>
          <t>D8</t>
        </is>
      </c>
      <c r="B60" s="8" t="inlineStr">
        <is>
          <t>Summary</t>
        </is>
      </c>
      <c r="C60" s="8" t="inlineStr">
        <is>
          <t>อนุมัติ summary ของตัวเอง</t>
        </is>
      </c>
      <c r="D60" s="8" t="inlineStr">
        <is>
          <t>คนเขียน = คนกด Approve ได้ (ต่างจาก invoice ที่ห้าม)</t>
        </is>
      </c>
      <c r="E60" s="17" t="inlineStr">
        <is>
          <t>🔴 บั๊ก</t>
        </is>
      </c>
      <c r="F60" s="18" t="inlineStr">
        <is>
          <t>Medium</t>
        </is>
      </c>
      <c r="G60" s="8" t="inlineStr">
        <is>
          <t>❓ ต้องยืนยัน Business rule</t>
        </is>
      </c>
      <c r="H60" s="8" t="inlineStr">
        <is>
          <t>ใช้กฎ maker–checker แบบเดียวกับ invoice หรือยืนยันว่าอนุญาต</t>
        </is>
      </c>
      <c r="I60" s="8" t="inlineStr"/>
      <c r="J60" s="8" t="inlineStr"/>
    </row>
    <row r="61">
      <c r="A61" s="8" t="inlineStr">
        <is>
          <t>E1</t>
        </is>
      </c>
      <c r="B61" s="8" t="inlineStr">
        <is>
          <t>Calendar</t>
        </is>
      </c>
      <c r="C61" s="8" t="inlineStr">
        <is>
          <t>แสดง session ทุกมุมมอง</t>
        </is>
      </c>
      <c r="D61" s="8" t="inlineStr">
        <is>
          <t>Week/Month/List แสดงครบ (ดู E5 สำหรับ Day)</t>
        </is>
      </c>
      <c r="E61" s="19" t="inlineStr">
        <is>
          <t>✅ ผ่าน</t>
        </is>
      </c>
      <c r="F61" s="8" t="inlineStr">
        <is>
          <t>—</t>
        </is>
      </c>
      <c r="G61" s="8" t="inlineStr">
        <is>
          <t>—</t>
        </is>
      </c>
      <c r="H61" s="8" t="inlineStr"/>
      <c r="I61" s="8" t="inlineStr"/>
      <c r="J61" s="8" t="inlineStr"/>
    </row>
    <row r="62">
      <c r="A62" s="8" t="inlineStr">
        <is>
          <t>E2</t>
        </is>
      </c>
      <c r="B62" s="8" t="inlineStr">
        <is>
          <t>Calendar</t>
        </is>
      </c>
      <c r="C62" s="8" t="inlineStr">
        <is>
          <t>สะท้อนการแก้/ลบ/reschedule</t>
        </is>
      </c>
      <c r="D62" s="8" t="inlineStr">
        <is>
          <t>ตามทัน แต่สะท้อนบั๊ก B3 + ชื่อครูเป็น UUID · list ในหน้าคลาสไม่ refresh</t>
        </is>
      </c>
      <c r="E62" s="15" t="inlineStr">
        <is>
          <t>⚠️ ผ่าน/มีข้อสังเกต</t>
        </is>
      </c>
      <c r="F62" s="18" t="inlineStr">
        <is>
          <t>Medium</t>
        </is>
      </c>
      <c r="G62" s="8" t="inlineStr">
        <is>
          <t>🔧 ต้องแก้</t>
        </is>
      </c>
      <c r="H62" s="8" t="inlineStr">
        <is>
          <t>แก้ต้นเหตุ B3/A9 · refresh list หลังแก้</t>
        </is>
      </c>
      <c r="I62" s="8" t="inlineStr"/>
      <c r="J62" s="8" t="inlineStr"/>
    </row>
    <row r="63">
      <c r="A63" s="8" t="inlineStr">
        <is>
          <t>E3</t>
        </is>
      </c>
      <c r="B63" s="8" t="inlineStr">
        <is>
          <t>Calendar</t>
        </is>
      </c>
      <c r="C63" s="8" t="inlineStr">
        <is>
          <t>Create Class จากช่องว่าง</t>
        </is>
      </c>
      <c r="D63" s="8" t="inlineStr">
        <is>
          <t>prefill สาขา/ครู/วัน/เวลาถูก + toast "Class created" + ขึ้นใน Calendar ✅ · default 2 ชม. · ไม่กำหนดห้อง · การ์ดโชว์แค่ชื่อวิชา</t>
        </is>
      </c>
      <c r="E63" s="15" t="inlineStr">
        <is>
          <t>⚠️ ผ่าน/มีข้อสังเกต</t>
        </is>
      </c>
      <c r="F63" s="16" t="inlineStr">
        <is>
          <t>Low</t>
        </is>
      </c>
      <c r="G63" s="8" t="inlineStr">
        <is>
          <t>🔧 ต้องแก้</t>
        </is>
      </c>
      <c r="H63" s="8" t="inlineStr">
        <is>
          <t>default ตามความยาวคาบมาตรฐานของสาขา · เลือกห้องว่างให้อัตโนมัติ · แสดงชื่อคลาสบนการ์ด</t>
        </is>
      </c>
      <c r="I63" s="8" t="inlineStr"/>
      <c r="J63" s="8" t="inlineStr"/>
    </row>
    <row r="64">
      <c r="A64" s="8" t="inlineStr">
        <is>
          <t>E4</t>
        </is>
      </c>
      <c r="B64" s="8" t="inlineStr">
        <is>
          <t>Calendar</t>
        </is>
      </c>
      <c r="C64" s="8" t="inlineStr">
        <is>
          <t>Summary → Export PDF</t>
        </is>
      </c>
      <c r="D64" s="8" t="inlineStr">
        <is>
          <t>หัวบอก "Week" แต่ตารางมี 18 sessions ช่วง 23 ก.ย.–14 ต.ค. · 3 sessions ที่ชนกันสถานะ "OK" (เช็คแค่ holiday) · ยังไม่ได้กด Export PDF (ต้องขออนุญาตดาวน์โหลด)</t>
        </is>
      </c>
      <c r="E64" s="17" t="inlineStr">
        <is>
          <t>🔴 บั๊ก</t>
        </is>
      </c>
      <c r="F64" s="18" t="inlineStr">
        <is>
          <t>Medium</t>
        </is>
      </c>
      <c r="G64" s="8" t="inlineStr">
        <is>
          <t>🔧 ต้องแก้</t>
        </is>
      </c>
      <c r="H64" s="8" t="inlineStr">
        <is>
          <t>กรองตามช่วงที่ดูอยู่จริง · ตรวจห้อง/ครูชนแล้วแสดงสถานะ Conflict · (ค้าง) เทส Export PDF</t>
        </is>
      </c>
      <c r="I64" s="8" t="inlineStr"/>
      <c r="J64" s="8" t="inlineStr"/>
    </row>
    <row r="65">
      <c r="A65" s="8" t="inlineStr">
        <is>
          <t>E5</t>
        </is>
      </c>
      <c r="B65" s="8" t="inlineStr">
        <is>
          <t>Calendar</t>
        </is>
      </c>
      <c r="C65" s="8" t="inlineStr">
        <is>
          <t>Day view แสดงครบทุก session?</t>
        </is>
      </c>
      <c r="D65" s="8" t="inlineStr">
        <is>
          <t>ซ่อน session ที่ไม่มีครู / ครูถูกลบ: วันนี้ไม่เห็น 16:00 · 25 ก.ย. Month บอก ×5 แต่ Day เห็น 2 · filter "No teacher" ใน Day = ว่าง · ครู UUID ไม่มีใน dropdown → ช่องที่ดูว่างอาจไม่ว่าง สร้างคลาสแล้วชนโดยไม่รู้</t>
        </is>
      </c>
      <c r="E65" s="17" t="inlineStr">
        <is>
          <t>🔴 บั๊ก</t>
        </is>
      </c>
      <c r="F65" s="13" t="inlineStr">
        <is>
          <t>High</t>
        </is>
      </c>
      <c r="G65" s="8" t="inlineStr">
        <is>
          <t>🔧 ต้องแก้</t>
        </is>
      </c>
      <c r="H65" s="8" t="inlineStr">
        <is>
          <t>เพิ่มคอลัมน์ "No teacher" / "Unknown teacher" ใน Day view · ใส่ครูที่ถูกลบใน filter</t>
        </is>
      </c>
      <c r="I65" s="8" t="inlineStr"/>
      <c r="J65" s="8" t="inlineStr"/>
    </row>
    <row r="66">
      <c r="A66" s="8" t="inlineStr">
        <is>
          <t>E6</t>
        </is>
      </c>
      <c r="B66" s="8" t="inlineStr">
        <is>
          <t>Calendar</t>
        </is>
      </c>
      <c r="C66" s="8" t="inlineStr">
        <is>
          <t>Week view</t>
        </is>
      </c>
      <c r="D66" s="8" t="inlineStr">
        <is>
          <t>แสดงครบ ✅ · session ชนกันบีบจนอ่านไม่ออก · ป้าย "Week 4" ไม่ชัด</t>
        </is>
      </c>
      <c r="E66" s="15" t="inlineStr">
        <is>
          <t>⚠️ ผ่าน/มีข้อสังเกต</t>
        </is>
      </c>
      <c r="F66" s="16" t="inlineStr">
        <is>
          <t>Low</t>
        </is>
      </c>
      <c r="G66" s="8" t="inlineStr">
        <is>
          <t>🔧 ต้องแก้</t>
        </is>
      </c>
      <c r="H66" s="8" t="inlineStr">
        <is>
          <t>แสดง "+2 more" แล้วกดขยาย · ป้ายเป็นช่วงวันที่ เช่น 21–27 ก.ย.</t>
        </is>
      </c>
      <c r="I66" s="8" t="inlineStr"/>
      <c r="J66" s="8" t="inlineStr"/>
    </row>
    <row r="67">
      <c r="A67" s="8" t="inlineStr">
        <is>
          <t>E7</t>
        </is>
      </c>
      <c r="B67" s="8" t="inlineStr">
        <is>
          <t>Calendar</t>
        </is>
      </c>
      <c r="C67" s="8" t="inlineStr">
        <is>
          <t>Month view</t>
        </is>
      </c>
      <c r="D67" s="8" t="inlineStr">
        <is>
          <t>รวม "Maths ×N" + จุดแดง conflict + ไฮไลต์ holiday ✅ · เริ่มสัปดาห์วันอาทิตย์ แต่ Week เริ่มวันจันทร์ · hover popover โผล่ผิดที่</t>
        </is>
      </c>
      <c r="E67" s="15" t="inlineStr">
        <is>
          <t>⚠️ ผ่าน/มีข้อสังเกต</t>
        </is>
      </c>
      <c r="F67" s="16" t="inlineStr">
        <is>
          <t>Low</t>
        </is>
      </c>
      <c r="G67" s="8" t="inlineStr">
        <is>
          <t>🔧 ต้องแก้</t>
        </is>
      </c>
      <c r="H67" s="8" t="inlineStr">
        <is>
          <t>ใช้วันเริ่มสัปดาห์เดียวกัน · แก้ตำแหน่ง popover</t>
        </is>
      </c>
      <c r="I67" s="8" t="inlineStr"/>
      <c r="J67" s="8" t="inlineStr"/>
    </row>
    <row r="68">
      <c r="A68" s="8" t="inlineStr">
        <is>
          <t>F1</t>
        </is>
      </c>
      <c r="B68" s="8" t="inlineStr">
        <is>
          <t>Cross-module</t>
        </is>
      </c>
      <c r="C68" s="8" t="inlineStr">
        <is>
          <t>Remove student จากคลาส</t>
        </is>
      </c>
      <c r="D68" s="8" t="inlineStr">
        <is>
          <t>error "An unexpected error occurred" → error ดิบมี UUID → สุดท้ายคลาสว่าง แต่ session อนาคตยังมีนักเรียน</t>
        </is>
      </c>
      <c r="E68" s="17" t="inlineStr">
        <is>
          <t>🔴 บั๊ก</t>
        </is>
      </c>
      <c r="F68" s="9" t="inlineStr">
        <is>
          <t>Critical</t>
        </is>
      </c>
      <c r="G68" s="8" t="inlineStr">
        <is>
          <t>🔧 ต้องแก้</t>
        </is>
      </c>
      <c r="H68" s="8" t="inlineStr">
        <is>
          <t>ทำใน transaction เดียว: ลบจากคลาส + session อนาคต · ข้อความ error ภาษาคน</t>
        </is>
      </c>
      <c r="I68" s="8" t="inlineStr"/>
      <c r="J68" s="8" t="inlineStr"/>
    </row>
    <row r="69">
      <c r="A69" s="8" t="inlineStr">
        <is>
          <t>F2</t>
        </is>
      </c>
      <c r="B69" s="8" t="inlineStr">
        <is>
          <t>Cross-module</t>
        </is>
      </c>
      <c r="C69" s="8" t="inlineStr">
        <is>
          <t>ลบครูที่ยังสอนคลาส Active</t>
        </is>
      </c>
      <c r="D69" s="8" t="inlineStr">
        <is>
          <t>ลบได้ไม่เตือน → หน้าอื่นแสดง UUID แทนชื่อ</t>
        </is>
      </c>
      <c r="E69" s="17" t="inlineStr">
        <is>
          <t>🔴 บั๊ก</t>
        </is>
      </c>
      <c r="F69" s="13" t="inlineStr">
        <is>
          <t>High</t>
        </is>
      </c>
      <c r="G69" s="8" t="inlineStr">
        <is>
          <t>🔧 ต้องแก้</t>
        </is>
      </c>
      <c r="H69" s="8" t="inlineStr">
        <is>
          <t>เตือน + บังคับเลือกครูแทนก่อนลบ · แสดงชื่อครูที่ออกแล้ว</t>
        </is>
      </c>
      <c r="I69" s="8" t="inlineStr"/>
      <c r="J69" s="8" t="inlineStr"/>
    </row>
    <row r="70">
      <c r="A70" s="8" t="inlineStr">
        <is>
          <t>F3</t>
        </is>
      </c>
      <c r="B70" s="8" t="inlineStr">
        <is>
          <t>Cross-module</t>
        </is>
      </c>
      <c r="C70" s="8" t="inlineStr">
        <is>
          <t>Claim จาก invoice → นักเรียนเข้าคลาส</t>
        </is>
      </c>
      <c r="D70" s="8" t="inlineStr">
        <is>
          <t>auto-claim ✅</t>
        </is>
      </c>
      <c r="E70" s="19" t="inlineStr">
        <is>
          <t>✅ ผ่าน</t>
        </is>
      </c>
      <c r="F70" s="8" t="inlineStr">
        <is>
          <t>—</t>
        </is>
      </c>
      <c r="G70" s="8" t="inlineStr">
        <is>
          <t>—</t>
        </is>
      </c>
      <c r="H70" s="8" t="inlineStr"/>
      <c r="I70" s="8" t="inlineStr"/>
      <c r="J70" s="8" t="inlineStr"/>
    </row>
    <row r="71">
      <c r="A71" s="8" t="inlineStr">
        <is>
          <t>F4</t>
        </is>
      </c>
      <c r="B71" s="8" t="inlineStr">
        <is>
          <t>Cross-module</t>
        </is>
      </c>
      <c r="C71" s="8" t="inlineStr">
        <is>
          <t>Notification นักเรียนคาบใกล้หมด</t>
        </is>
      </c>
      <c r="D71" s="8" t="inlineStr">
        <is>
          <t>มีแล้ว (Urgent 1 session left / 0 sessions left + ปุ่ม Send LINE reminder) · StudentA เป็น subscription แต่ถูกนับ "1 session left" · พิมพ์ /billing ใน URL แล้วเด้งไป Notifications</t>
        </is>
      </c>
      <c r="E71" s="15" t="inlineStr">
        <is>
          <t>⚠️ ผ่าน/มีข้อสังเกต</t>
        </is>
      </c>
      <c r="F71" s="18" t="inlineStr">
        <is>
          <t>Medium</t>
        </is>
      </c>
      <c r="G71" s="8" t="inlineStr">
        <is>
          <t>🔧 ต้องแก้</t>
        </is>
      </c>
      <c r="H71" s="8" t="inlineStr">
        <is>
          <t>ไม่แจ้งเตือนนักเรียน subscription แบบนับคาบ · แก้ routing</t>
        </is>
      </c>
      <c r="I71" s="8" t="inlineStr"/>
      <c r="J71" s="8" t="inlineStr"/>
    </row>
    <row r="72">
      <c r="A72" s="8" t="inlineStr">
        <is>
          <t>F5</t>
        </is>
      </c>
      <c r="B72" s="8" t="inlineStr">
        <is>
          <t>Cross-module</t>
        </is>
      </c>
      <c r="C72" s="8" t="inlineStr">
        <is>
          <t>Student profile ตรงกับ session</t>
        </is>
      </c>
      <c r="D72" s="8" t="inlineStr">
        <is>
          <t>Attendance ตรง ✅ · หน้า session ไม่แสดง Leave</t>
        </is>
      </c>
      <c r="E72" s="15" t="inlineStr">
        <is>
          <t>⚠️ ผ่าน/มีข้อสังเกต</t>
        </is>
      </c>
      <c r="F72" s="16" t="inlineStr">
        <is>
          <t>Low</t>
        </is>
      </c>
      <c r="G72" s="8" t="inlineStr">
        <is>
          <t>🔧 ต้องแก้</t>
        </is>
      </c>
      <c r="H72" s="8" t="inlineStr">
        <is>
          <t>แสดงสถานะลาในหน้า session</t>
        </is>
      </c>
      <c r="I72" s="8" t="inlineStr"/>
      <c r="J72" s="8" t="inlineStr"/>
    </row>
    <row r="73">
      <c r="A73" s="8" t="inlineStr">
        <is>
          <t>F6</t>
        </is>
      </c>
      <c r="B73" s="8" t="inlineStr">
        <is>
          <t>Cross-module</t>
        </is>
      </c>
      <c r="C73" s="8" t="inlineStr">
        <is>
          <t>ชื่อครูไม่ตรงกันข้ามหน้า</t>
        </is>
      </c>
      <c r="D73" s="8" t="inlineStr">
        <is>
          <t>Billing = "Dai Breezy"/"NockAcademy LMS" · Calendar = "dai Test"/UUID</t>
        </is>
      </c>
      <c r="E73" s="17" t="inlineStr">
        <is>
          <t>🔴 บั๊ก</t>
        </is>
      </c>
      <c r="F73" s="18" t="inlineStr">
        <is>
          <t>Medium</t>
        </is>
      </c>
      <c r="G73" s="8" t="inlineStr">
        <is>
          <t>🔧 ต้องแก้</t>
        </is>
      </c>
      <c r="H73" s="8" t="inlineStr">
        <is>
          <t>ใช้ display name จากแหล่งเดียว</t>
        </is>
      </c>
      <c r="I73" s="8" t="inlineStr"/>
      <c r="J73" s="8" t="inlineStr"/>
    </row>
    <row r="74">
      <c r="A74" s="8" t="inlineStr">
        <is>
          <t>F7</t>
        </is>
      </c>
      <c r="B74" s="8" t="inlineStr">
        <is>
          <t>Cross-module</t>
        </is>
      </c>
      <c r="C74" s="8" t="inlineStr">
        <is>
          <t>สถานะนักเรียน</t>
        </is>
      </c>
      <c r="D74" s="8" t="inlineStr">
        <is>
          <t>นักเรียนลง 4 คลาสแต่ Inactive · Classes Left 0 ทั้งที่ subscription จ่ายแล้ว</t>
        </is>
      </c>
      <c r="E74" s="17" t="inlineStr">
        <is>
          <t>🔴 บั๊ก</t>
        </is>
      </c>
      <c r="F74" s="13" t="inlineStr">
        <is>
          <t>High</t>
        </is>
      </c>
      <c r="G74" s="8" t="inlineStr">
        <is>
          <t>🔧 ต้องแก้</t>
        </is>
      </c>
      <c r="H74" s="8" t="inlineStr">
        <is>
          <t>คำนวณสถานะ/คาบคงเหลือจาก entitlement จริง</t>
        </is>
      </c>
      <c r="I74" s="8" t="inlineStr"/>
      <c r="J74" s="8" t="inlineStr"/>
    </row>
    <row r="75">
      <c r="A75" s="8" t="inlineStr">
        <is>
          <t>F8</t>
        </is>
      </c>
      <c r="B75" s="8" t="inlineStr">
        <is>
          <t>Cross-module</t>
        </is>
      </c>
      <c r="C75" s="8" t="inlineStr">
        <is>
          <t>ตรวจเกรดนักเรียนกับคอร์ส/คลาส</t>
        </is>
      </c>
      <c r="D75" s="8" t="inlineStr">
        <is>
          <t>ป.1 ซื้อคอร์ส ป.5 และเข้าคลาส ป.5 ได้ไม่เตือน</t>
        </is>
      </c>
      <c r="E75" s="15" t="inlineStr">
        <is>
          <t>⚠️ ผ่าน/มีข้อสังเกต</t>
        </is>
      </c>
      <c r="F75" s="18" t="inlineStr">
        <is>
          <t>Medium</t>
        </is>
      </c>
      <c r="G75" s="8" t="inlineStr">
        <is>
          <t>❓ ต้องยืนยัน Business rule</t>
        </is>
      </c>
      <c r="H75" s="8" t="inlineStr">
        <is>
          <t>เตือน (หรือบล็อก) เมื่อเกรดไม่ตรง</t>
        </is>
      </c>
      <c r="I75" s="8" t="inlineStr"/>
      <c r="J75" s="8" t="inlineStr"/>
    </row>
    <row r="76">
      <c r="A76" s="8" t="inlineStr">
        <is>
          <t>G1</t>
        </is>
      </c>
      <c r="B76" s="8" t="inlineStr">
        <is>
          <t>สิทธิ์ Teacher</t>
        </is>
      </c>
      <c r="C76" s="8" t="inlineStr">
        <is>
          <t>Sidebar</t>
        </is>
      </c>
      <c r="D76" s="8" t="inlineStr">
        <is>
          <t>เห็นทุกเมนูเหมือน Director</t>
        </is>
      </c>
      <c r="E76" s="15" t="inlineStr">
        <is>
          <t>⚠️ ผ่าน/มีข้อสังเกต</t>
        </is>
      </c>
      <c r="F76" s="18" t="inlineStr">
        <is>
          <t>Medium</t>
        </is>
      </c>
      <c r="G76" s="8" t="inlineStr">
        <is>
          <t>🔧 ต้องแก้</t>
        </is>
      </c>
      <c r="H76" s="8" t="inlineStr">
        <is>
          <t>ซ่อนเมนูที่ไม่มีสิทธิ์</t>
        </is>
      </c>
      <c r="I76" s="8" t="inlineStr"/>
      <c r="J76" s="8" t="inlineStr"/>
    </row>
    <row r="77">
      <c r="A77" s="8" t="inlineStr">
        <is>
          <t>G2</t>
        </is>
      </c>
      <c r="B77" s="8" t="inlineStr">
        <is>
          <t>สิทธิ์ Teacher</t>
        </is>
      </c>
      <c r="C77" s="8" t="inlineStr">
        <is>
          <t>Billing</t>
        </is>
      </c>
      <c r="D77" s="8" t="inlineStr">
        <is>
          <t>เข้าได้เต็ม: เห็นรายได้, New Invoice, Send to accountant, Approve invoice</t>
        </is>
      </c>
      <c r="E77" s="17" t="inlineStr">
        <is>
          <t>🔴 บั๊ก</t>
        </is>
      </c>
      <c r="F77" s="9" t="inlineStr">
        <is>
          <t>Critical</t>
        </is>
      </c>
      <c r="G77" s="8" t="inlineStr">
        <is>
          <t>🔧 ต้องแก้</t>
        </is>
      </c>
      <c r="H77" s="8" t="inlineStr">
        <is>
          <t>ปิด Billing สำหรับ Teacher ทั้ง UI และ API</t>
        </is>
      </c>
      <c r="I77" s="8" t="inlineStr"/>
      <c r="J77" s="8" t="inlineStr"/>
    </row>
    <row r="78">
      <c r="A78" s="8" t="inlineStr">
        <is>
          <t>G3</t>
        </is>
      </c>
      <c r="B78" s="8" t="inlineStr">
        <is>
          <t>สิทธิ์ Teacher</t>
        </is>
      </c>
      <c r="C78" s="8" t="inlineStr">
        <is>
          <t>Students</t>
        </is>
      </c>
      <c r="D78" s="8" t="inlineStr">
        <is>
          <t>Export ข้อมูลนักเรียน (PII) ได้ + Add Student</t>
        </is>
      </c>
      <c r="E78" s="15" t="inlineStr">
        <is>
          <t>⚠️ ผ่าน/มีข้อสังเกต</t>
        </is>
      </c>
      <c r="F78" s="13" t="inlineStr">
        <is>
          <t>High</t>
        </is>
      </c>
      <c r="G78" s="8" t="inlineStr">
        <is>
          <t>❓ ต้องยืนยัน Business rule</t>
        </is>
      </c>
      <c r="H78" s="8" t="inlineStr">
        <is>
          <t>จำกัด Export เฉพาะ Admin ขึ้นไป</t>
        </is>
      </c>
      <c r="I78" s="8" t="inlineStr"/>
      <c r="J78" s="8" t="inlineStr"/>
    </row>
    <row r="79">
      <c r="A79" s="8" t="inlineStr">
        <is>
          <t>G4</t>
        </is>
      </c>
      <c r="B79" s="8" t="inlineStr">
        <is>
          <t>สิทธิ์ Teacher</t>
        </is>
      </c>
      <c r="C79" s="8" t="inlineStr">
        <is>
          <t>Classes/Sessions</t>
        </is>
      </c>
      <c r="D79" s="8" t="inlineStr">
        <is>
          <t>สร้างคลาสได้ · กำหนดครูคนอื่นได้ · เห็น session ครูทุกคน</t>
        </is>
      </c>
      <c r="E79" s="15" t="inlineStr">
        <is>
          <t>⚠️ ผ่าน/มีข้อสังเกต</t>
        </is>
      </c>
      <c r="F79" s="18" t="inlineStr">
        <is>
          <t>Medium</t>
        </is>
      </c>
      <c r="G79" s="8" t="inlineStr">
        <is>
          <t>❓ ต้องยืนยัน Business rule</t>
        </is>
      </c>
      <c r="H79" s="8" t="inlineStr">
        <is>
          <t>ยืนยันขอบเขตสิทธิ์ครู</t>
        </is>
      </c>
      <c r="I79" s="8" t="inlineStr"/>
      <c r="J79" s="8" t="inlineStr"/>
    </row>
    <row r="80">
      <c r="A80" s="8" t="inlineStr">
        <is>
          <t>G5</t>
        </is>
      </c>
      <c r="B80" s="8" t="inlineStr">
        <is>
          <t>สิทธิ์ Teacher</t>
        </is>
      </c>
      <c r="C80" s="8" t="inlineStr">
        <is>
          <t>Staff/Settings/Courses/Summary</t>
        </is>
      </c>
      <c r="D80" s="8" t="inlineStr">
        <is>
          <t>อ่านอย่างเดียว / ไม่มีปุ่มสร้าง / Submit ได้ Approve ไม่ได้</t>
        </is>
      </c>
      <c r="E80" s="19" t="inlineStr">
        <is>
          <t>✅ ผ่าน</t>
        </is>
      </c>
      <c r="F80" s="8" t="inlineStr">
        <is>
          <t>—</t>
        </is>
      </c>
      <c r="G80" s="8" t="inlineStr">
        <is>
          <t>—</t>
        </is>
      </c>
      <c r="H80" s="8" t="inlineStr"/>
      <c r="I80" s="8" t="inlineStr"/>
      <c r="J80" s="8" t="inlineStr"/>
    </row>
    <row r="81">
      <c r="A81" s="8" t="inlineStr">
        <is>
          <t>G6</t>
        </is>
      </c>
      <c r="B81" s="8" t="inlineStr">
        <is>
          <t>สิทธิ์ Teacher</t>
        </is>
      </c>
      <c r="C81" s="8" t="inlineStr">
        <is>
          <t>สลับบัญชีเอง (Clerk multi-session)</t>
        </is>
      </c>
      <c r="D81" s="8" t="inlineStr">
        <is>
          <t>ถ้า Director เคยล็อกอินค้างในเบราว์เซอร์เดียวกัน ครูเปิด /billing แล้วถูกสลับเป็น Director เอง</t>
        </is>
      </c>
      <c r="E81" s="17" t="inlineStr">
        <is>
          <t>🔴 บั๊ก</t>
        </is>
      </c>
      <c r="F81" s="9" t="inlineStr">
        <is>
          <t>Critical</t>
        </is>
      </c>
      <c r="G81" s="8" t="inlineStr">
        <is>
          <t>🔧 ต้องแก้</t>
        </is>
      </c>
      <c r="H81" s="8" t="inlineStr">
        <is>
          <t>ปิด multi-session ของ Clerk หรือบังคับ active session เดียว</t>
        </is>
      </c>
      <c r="I81" s="8" t="inlineStr"/>
      <c r="J81" s="8" t="inlineStr"/>
    </row>
    <row r="82">
      <c r="A82" s="8" t="inlineStr">
        <is>
          <t>S1</t>
        </is>
      </c>
      <c r="B82" s="8" t="inlineStr">
        <is>
          <t>ระบบทั่วไป</t>
        </is>
      </c>
      <c r="C82" s="8" t="inlineStr">
        <is>
          <t>ความเร็ว</t>
        </is>
      </c>
      <c r="D82" s="8" t="inlineStr">
        <is>
          <t>TTFB 2–3 วิ · ข้อมูลขึ้นจอ 8–9 วิ · เปลี่ยนหน้าแล้ว prefetch ทุกเมนูซ้ำ (&gt;2,700 request)</t>
        </is>
      </c>
      <c r="E82" s="17" t="inlineStr">
        <is>
          <t>🔴 บั๊ก</t>
        </is>
      </c>
      <c r="F82" s="13" t="inlineStr">
        <is>
          <t>High</t>
        </is>
      </c>
      <c r="G82" s="8" t="inlineStr">
        <is>
          <t>🔧 ต้องแก้</t>
        </is>
      </c>
      <c r="H82" s="8" t="inlineStr">
        <is>
          <t>ปิด prefetch ของลิงก์ sidebar · cache ข้อมูลอ้างอิง</t>
        </is>
      </c>
      <c r="I82" s="8" t="inlineStr"/>
      <c r="J82" s="8" t="inlineStr"/>
    </row>
    <row r="83">
      <c r="A83" s="8" t="inlineStr">
        <is>
          <t>S2</t>
        </is>
      </c>
      <c r="B83" s="8" t="inlineStr">
        <is>
          <t>ระบบทั่วไป</t>
        </is>
      </c>
      <c r="C83" s="8" t="inlineStr">
        <is>
          <t>URL id ผิดรูปแบบ</t>
        </is>
      </c>
      <c r="D83" s="8" t="inlineStr">
        <is>
          <t>server crash แทน 404 · หน้า 404 ไม่มี sidebar</t>
        </is>
      </c>
      <c r="E83" s="15" t="inlineStr">
        <is>
          <t>⚠️ ผ่าน/มีข้อสังเกต</t>
        </is>
      </c>
      <c r="F83" s="18" t="inlineStr">
        <is>
          <t>Medium</t>
        </is>
      </c>
      <c r="G83" s="8" t="inlineStr">
        <is>
          <t>🔧 ต้องแก้</t>
        </is>
      </c>
      <c r="H83" s="8" t="inlineStr">
        <is>
          <t>validate id → 404 ที่มี layout</t>
        </is>
      </c>
      <c r="I83" s="8" t="inlineStr"/>
      <c r="J83" s="8" t="inlineStr"/>
    </row>
    <row r="84">
      <c r="A84" s="8" t="inlineStr">
        <is>
          <t>S3</t>
        </is>
      </c>
      <c r="B84" s="8" t="inlineStr">
        <is>
          <t>ระบบทั่วไป</t>
        </is>
      </c>
      <c r="C84" s="8" t="inlineStr">
        <is>
          <t>Switch branch</t>
        </is>
      </c>
      <c r="D84" s="8" t="inlineStr">
        <is>
          <t>หน้าเดิมไม่อัปเดต ต้อง reload</t>
        </is>
      </c>
      <c r="E84" s="15" t="inlineStr">
        <is>
          <t>⚠️ ผ่าน/มีข้อสังเกต</t>
        </is>
      </c>
      <c r="F84" s="18" t="inlineStr">
        <is>
          <t>Medium</t>
        </is>
      </c>
      <c r="G84" s="8" t="inlineStr">
        <is>
          <t>🔧 ต้องแก้</t>
        </is>
      </c>
      <c r="H84" s="8" t="inlineStr">
        <is>
          <t>refetch เมื่อเปลี่ยนสาขา</t>
        </is>
      </c>
      <c r="I84" s="8" t="inlineStr"/>
      <c r="J84" s="8" t="inlineStr"/>
    </row>
    <row r="85">
      <c r="A85" s="8" t="inlineStr">
        <is>
          <t>S4</t>
        </is>
      </c>
      <c r="B85" s="8" t="inlineStr">
        <is>
          <t>ระบบทั่วไป</t>
        </is>
      </c>
      <c r="C85" s="8" t="inlineStr">
        <is>
          <t>Validation ฟอร์ม Family</t>
        </is>
      </c>
      <c r="D85" s="8" t="inlineStr">
        <is>
          <t>เบอร์ "abc", รหัสไปรษณีย์ "abcde", วันเกิดปี 2030 บันทึกผ่าน</t>
        </is>
      </c>
      <c r="E85" s="15" t="inlineStr">
        <is>
          <t>⚠️ ผ่าน/มีข้อสังเกต</t>
        </is>
      </c>
      <c r="F85" s="18" t="inlineStr">
        <is>
          <t>Medium</t>
        </is>
      </c>
      <c r="G85" s="8" t="inlineStr">
        <is>
          <t>🔧 ต้องแก้</t>
        </is>
      </c>
      <c r="H85" s="8" t="inlineStr">
        <is>
          <t>validate รูปแบบข้อมูล</t>
        </is>
      </c>
      <c r="I85" s="8" t="inlineStr"/>
      <c r="J85" s="8" t="inlineStr"/>
    </row>
    <row r="86">
      <c r="A86" s="8" t="inlineStr">
        <is>
          <t>S5</t>
        </is>
      </c>
      <c r="B86" s="8" t="inlineStr">
        <is>
          <t>ระบบทั่วไป</t>
        </is>
      </c>
      <c r="C86" s="8" t="inlineStr">
        <is>
          <t>Staff แบบ no-login</t>
        </is>
      </c>
      <c r="D86" s="8" t="inlineStr">
        <is>
          <t>ยังบังคับ Email</t>
        </is>
      </c>
      <c r="E86" s="15" t="inlineStr">
        <is>
          <t>⚠️ ผ่าน/มีข้อสังเกต</t>
        </is>
      </c>
      <c r="F86" s="16" t="inlineStr">
        <is>
          <t>Low</t>
        </is>
      </c>
      <c r="G86" s="8" t="inlineStr">
        <is>
          <t>❓ ต้องยืนยัน Business rule</t>
        </is>
      </c>
      <c r="H86" s="8" t="inlineStr">
        <is>
          <t>ให้เว้นว่างได้</t>
        </is>
      </c>
      <c r="I86" s="8" t="inlineStr"/>
      <c r="J86" s="8" t="inlineStr"/>
    </row>
    <row r="87">
      <c r="A87" s="8" t="inlineStr">
        <is>
          <t>S6</t>
        </is>
      </c>
      <c r="B87" s="8" t="inlineStr">
        <is>
          <t>ระบบทั่วไป</t>
        </is>
      </c>
      <c r="C87" s="8" t="inlineStr">
        <is>
          <t>Director ลบตัวเองได้</t>
        </is>
      </c>
      <c r="D87" s="8" t="inlineStr">
        <is>
          <t>มีปุ่ม Delete ตัวเอง (ไม่ได้กดจริง)</t>
        </is>
      </c>
      <c r="E87" s="15" t="inlineStr">
        <is>
          <t>⚠️ ผ่าน/มีข้อสังเกต</t>
        </is>
      </c>
      <c r="F87" s="13" t="inlineStr">
        <is>
          <t>High</t>
        </is>
      </c>
      <c r="G87" s="8" t="inlineStr">
        <is>
          <t>🔧 ต้องแก้</t>
        </is>
      </c>
      <c r="H87" s="8" t="inlineStr">
        <is>
          <t>ห้ามลบตัวเอง / ต้องเหลือ Director อย่างน้อย 1</t>
        </is>
      </c>
      <c r="I87" s="8" t="inlineStr"/>
      <c r="J87" s="8" t="inlineStr"/>
    </row>
    <row r="88">
      <c r="A88" s="8" t="inlineStr">
        <is>
          <t>S7</t>
        </is>
      </c>
      <c r="B88" s="8" t="inlineStr">
        <is>
          <t>ระบบทั่วไป</t>
        </is>
      </c>
      <c r="C88" s="8" t="inlineStr">
        <is>
          <t>Clerk ใช้ development keys</t>
        </is>
      </c>
      <c r="D88" s="8" t="inlineStr">
        <is>
          <t>บน staging</t>
        </is>
      </c>
      <c r="E88" s="15" t="inlineStr">
        <is>
          <t>⚠️ ผ่าน/มีข้อสังเกต</t>
        </is>
      </c>
      <c r="F88" s="18" t="inlineStr">
        <is>
          <t>Medium</t>
        </is>
      </c>
      <c r="G88" s="8" t="inlineStr">
        <is>
          <t>🔍 ต้องตรวจสอบ</t>
        </is>
      </c>
      <c r="H88" s="8" t="inlineStr">
        <is>
          <t>เปลี่ยนเป็น production keys ก่อนขึ้นจริง</t>
        </is>
      </c>
      <c r="I88" s="8" t="inlineStr"/>
      <c r="J88" s="8" t="inlineStr"/>
    </row>
    <row r="89">
      <c r="A89" s="8" t="inlineStr">
        <is>
          <t>S8</t>
        </is>
      </c>
      <c r="B89" s="8" t="inlineStr">
        <is>
          <t>ระบบทั่วไป</t>
        </is>
      </c>
      <c r="C89" s="8" t="inlineStr">
        <is>
          <t>UX ค้าง/หลุด</t>
        </is>
      </c>
      <c r="D89" s="8" t="inlineStr">
        <is>
          <t>Smart search/ปุ่ม Message/Call กดไม่ทำงาน · tooltip หลุด dev note ("(D3)", "Step 7") · error Zod ดิบ · badge ตัวเลขหลอก CRM/Inbox</t>
        </is>
      </c>
      <c r="E89" s="15" t="inlineStr">
        <is>
          <t>⚠️ ผ่าน/มีข้อสังเกต</t>
        </is>
      </c>
      <c r="F89" s="16" t="inlineStr">
        <is>
          <t>Low</t>
        </is>
      </c>
      <c r="G89" s="8" t="inlineStr">
        <is>
          <t>🔧 ต้องแก้</t>
        </is>
      </c>
      <c r="H89" s="8" t="inlineStr">
        <is>
          <t>ซ่อนฟีเจอร์ที่ยังไม่เสร็จ · เขียนข้อความใหม่</t>
        </is>
      </c>
      <c r="I89" s="8" t="inlineStr"/>
      <c r="J89" s="8" t="inlineStr"/>
    </row>
    <row r="90">
      <c r="A90" s="8" t="inlineStr">
        <is>
          <t>S9</t>
        </is>
      </c>
      <c r="B90" s="8" t="inlineStr">
        <is>
          <t>ระบบทั่วไป</t>
        </is>
      </c>
      <c r="C90" s="8" t="inlineStr">
        <is>
          <t>Mobile</t>
        </is>
      </c>
      <c r="D90" s="8" t="inlineStr">
        <is>
          <t>ใช้ไม่ได้ (sidebar กิน 60% ไม่มี hamburger)</t>
        </is>
      </c>
      <c r="E90" s="15" t="inlineStr">
        <is>
          <t>⚠️ ผ่าน/มีข้อสังเกต</t>
        </is>
      </c>
      <c r="F90" s="18" t="inlineStr">
        <is>
          <t>Medium</t>
        </is>
      </c>
      <c r="G90" s="8" t="inlineStr">
        <is>
          <t>❓ ต้องยืนยัน Business rule</t>
        </is>
      </c>
      <c r="H90" s="8" t="inlineStr">
        <is>
          <t>ตัดสินใจว่าต้องรองรับมือถือหรือไม่ (ครูน่าจะใช้มือถือเช็คชื่อ)</t>
        </is>
      </c>
      <c r="I90" s="8" t="inlineStr"/>
      <c r="J90" s="8" t="inlineStr"/>
    </row>
  </sheetData>
  <autoFilter ref="A1:J90"/>
  <dataValidations count="1">
    <dataValidation sqref="I2:I90" showDropDown="0" showInputMessage="0" showErrorMessage="0" allowBlank="1" type="list">
      <formula1>"ยังไม่เริ่ม,กำลังแก้,แก้แล้ว รอเทส,ผ่าน,ไม่แก้"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</cols>
  <sheetData>
    <row r="1" ht="30" customHeight="1">
      <c r="A1" s="14" t="inlineStr">
        <is>
          <t>รหัส</t>
        </is>
      </c>
      <c r="B1" s="14" t="inlineStr">
        <is>
          <t>สิ่งที่ยังไม่ได้เทส</t>
        </is>
      </c>
      <c r="C1" s="14" t="inlineStr">
        <is>
          <t>เหตุผล / ต้องการอะไร</t>
        </is>
      </c>
    </row>
    <row r="2">
      <c r="A2" s="8" t="inlineStr">
        <is>
          <t>E4</t>
        </is>
      </c>
      <c r="B2" s="8" t="inlineStr">
        <is>
          <t>Export PDF จาก Calendar Summary</t>
        </is>
      </c>
      <c r="C2" s="8" t="inlineStr">
        <is>
          <t>ต้องดาวน์โหลดไฟล์ — รอเจ้าของอนุญาต</t>
        </is>
      </c>
    </row>
    <row r="3">
      <c r="A3" s="8" t="inlineStr">
        <is>
          <t>A4</t>
        </is>
      </c>
      <c r="B3" s="8" t="inlineStr">
        <is>
          <t>คลาส Group รับคนที่ 7</t>
        </is>
      </c>
      <c r="C3" s="8" t="inlineStr">
        <is>
          <t>มีนักเรียนเทสแค่ 2 คน</t>
        </is>
      </c>
    </row>
    <row r="4">
      <c r="A4" s="8" t="inlineStr">
        <is>
          <t>A6</t>
        </is>
      </c>
      <c r="B4" s="8" t="inlineStr">
        <is>
          <t>toast ตอนครูชนเวลา</t>
        </is>
      </c>
      <c r="C4" s="8" t="inlineStr">
        <is>
          <t>ต้องเทสซ้ำ (toast หายใน ~4 วิ)</t>
        </is>
      </c>
    </row>
    <row r="5">
      <c r="A5" s="8" t="inlineStr">
        <is>
          <t>BL-16</t>
        </is>
      </c>
      <c r="B5" s="8" t="inlineStr">
        <is>
          <t>ปุ่ม Send ในตารางเมื่อไม่มี Note to parent</t>
        </is>
      </c>
      <c r="C5" s="8" t="inlineStr">
        <is>
          <t>ต้องเทสซ้ำ</t>
        </is>
      </c>
    </row>
    <row r="6">
      <c r="A6" s="8" t="inlineStr">
        <is>
          <t>D4</t>
        </is>
      </c>
      <c r="B6" s="8" t="inlineStr">
        <is>
          <t>แก้ summary ที่ส่งผู้ปกครองไปแล้ว</t>
        </is>
      </c>
      <c r="C6" s="8" t="inlineStr">
        <is>
          <t>ต้องส่งจริง (ห้ามส่ง)</t>
        </is>
      </c>
    </row>
    <row r="7">
      <c r="A7" s="8" t="inlineStr">
        <is>
          <t>BL-4</t>
        </is>
      </c>
      <c r="B7" s="8" t="inlineStr">
        <is>
          <t>ยอดใบ 260922010010007 (Thong lo) ตรงกันไหม</t>
        </is>
      </c>
      <c r="C7" s="8" t="inlineStr">
        <is>
          <t>เป็นข้อมูล Dev — ให้ Dev ตรวจ</t>
        </is>
      </c>
    </row>
    <row r="8">
      <c r="A8" s="8" t="inlineStr">
        <is>
          <t>—</t>
        </is>
      </c>
      <c r="B8" s="8" t="inlineStr">
        <is>
          <t>LINE: ส่ง invoice/receipt/summary จริง, link code ผู้ปกครอง</t>
        </is>
      </c>
      <c r="C8" s="8" t="inlineStr">
        <is>
          <t>ต้องมี LINE OA staging</t>
        </is>
      </c>
    </row>
    <row r="9">
      <c r="A9" s="8" t="inlineStr">
        <is>
          <t>—</t>
        </is>
      </c>
      <c r="B9" s="8" t="inlineStr">
        <is>
          <t>Send to accountant (email batch)</t>
        </is>
      </c>
      <c r="C9" s="8" t="inlineStr">
        <is>
          <t>ห้ามกด</t>
        </is>
      </c>
    </row>
    <row r="10">
      <c r="A10" s="8" t="inlineStr">
        <is>
          <t>—</t>
        </is>
      </c>
      <c r="B10" s="8" t="inlineStr">
        <is>
          <t>สิทธิ์ Admin / Manager / Area Manager</t>
        </is>
      </c>
      <c r="C10" s="8" t="inlineStr">
        <is>
          <t>ต้องมีบัญชีแต่ละ role</t>
        </is>
      </c>
    </row>
    <row r="11">
      <c r="A11" s="8" t="inlineStr">
        <is>
          <t>—</t>
        </is>
      </c>
      <c r="B11" s="8" t="inlineStr">
        <is>
          <t>Forgot password / สมัครใหม่</t>
        </is>
      </c>
      <c r="C11" s="8" t="inlineStr">
        <is>
          <t>ยังไม่ได้เทส</t>
        </is>
      </c>
    </row>
    <row r="12">
      <c r="A12" s="8" t="inlineStr">
        <is>
          <t>—</t>
        </is>
      </c>
      <c r="B12" s="8" t="inlineStr">
        <is>
          <t>เปลี่ยนภาษาเป็นไทย</t>
        </is>
      </c>
      <c r="C12" s="8" t="inlineStr">
        <is>
          <t>ยังไม่ได้เทส</t>
        </is>
      </c>
    </row>
    <row r="13">
      <c r="A13" s="8" t="inlineStr">
        <is>
          <t>—</t>
        </is>
      </c>
      <c r="B13" s="8" t="inlineStr">
        <is>
          <t>Renew flow / Deactivate branch</t>
        </is>
      </c>
      <c r="C13" s="8" t="inlineStr">
        <is>
          <t>ยังไม่ได้เทส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12" customWidth="1" min="3" max="3"/>
  </cols>
  <sheetData>
    <row r="1" ht="30" customHeight="1">
      <c r="A1" s="14" t="inlineStr">
        <is>
          <t>ประเภท</t>
        </is>
      </c>
      <c r="B1" s="14" t="inlineStr">
        <is>
          <t>รายการ</t>
        </is>
      </c>
      <c r="C1" s="14" t="inlineStr">
        <is>
          <t>สถานะ</t>
        </is>
      </c>
    </row>
    <row r="2">
      <c r="A2" s="8" t="inlineStr">
        <is>
          <t>Branch</t>
        </is>
      </c>
      <c r="B2" s="8" t="inlineStr">
        <is>
          <t>TEST-Branch</t>
        </is>
      </c>
      <c r="C2" s="8" t="inlineStr">
        <is>
          <t>Active</t>
        </is>
      </c>
    </row>
    <row r="3">
      <c r="A3" s="8" t="inlineStr">
        <is>
          <t>Packages / Fees / Promo / Holiday</t>
        </is>
      </c>
      <c r="B3" s="8" t="inlineStr">
        <is>
          <t>Maths ป.5/ป.6 · Bus TEST-Standard ฿150 · TEST-Entry ฿500 · TEST-Promo −10% · TEST-Holiday 13 ต.ค.</t>
        </is>
      </c>
      <c r="C3" s="8" t="inlineStr">
        <is>
          <t>Active</t>
        </is>
      </c>
    </row>
    <row r="4">
      <c r="A4" s="8" t="inlineStr">
        <is>
          <t>Staff</t>
        </is>
      </c>
      <c r="B4" s="8" t="inlineStr">
        <is>
          <t>TEST-Teacher (ลบแล้ว) · Dai Breezy (dai Test) ใช้เป็นบัญชี Teacher</t>
        </is>
      </c>
      <c r="C4" s="8" t="inlineStr">
        <is>
          <t>—</t>
        </is>
      </c>
    </row>
    <row r="5">
      <c r="A5" s="8" t="inlineStr">
        <is>
          <t>Course</t>
        </is>
      </c>
      <c r="B5" s="8" t="inlineStr">
        <is>
          <t>TEST-Course Maths P5 ฿4,500/เดือน</t>
        </is>
      </c>
      <c r="C5" s="8" t="inlineStr">
        <is>
          <t>Active</t>
        </is>
      </c>
    </row>
    <row r="6">
      <c r="A6" s="8" t="inlineStr">
        <is>
          <t>Classes</t>
        </is>
      </c>
      <c r="B6" s="8" t="inlineStr">
        <is>
          <t>Maths อังคาร 10:00 · TEST-Count · TEST-Exam · TEST-Room2 · TEST-Room3 · TEST-E3 Calendar (ศ. 25 ก.ย. 14:00)</t>
        </is>
      </c>
      <c r="C6" s="8" t="inlineStr">
        <is>
          <t>Active</t>
        </is>
      </c>
    </row>
    <row r="7">
      <c r="A7" s="8" t="inlineStr">
        <is>
          <t>Family / Students</t>
        </is>
      </c>
      <c r="B7" s="8" t="inlineStr">
        <is>
          <t>Family Family · TEST-StudentA (ป.5) · TEST-StudentB (ป.1)</t>
        </is>
      </c>
      <c r="C7" s="8" t="inlineStr">
        <is>
          <t>—</t>
        </is>
      </c>
    </row>
    <row r="8">
      <c r="A8" s="8" t="inlineStr">
        <is>
          <t>Invoices</t>
        </is>
      </c>
      <c r="B8" s="8" t="inlineStr">
        <is>
          <t>260923020020001 Void · 260923010020002 / 0003 รออนุมัติ · 260923010020005 Paid · 260924010020006 รออนุมัติ</t>
        </is>
      </c>
      <c r="C8" s="8" t="inlineStr">
        <is>
          <t>—</t>
        </is>
      </c>
    </row>
    <row r="9">
      <c r="A9" s="8" t="inlineStr">
        <is>
          <t>Sessions / Summary</t>
        </is>
      </c>
      <c r="B9" s="8" t="inlineStr">
        <is>
          <t>Trial 24 ก.ย. 09:00 (summary Approved, not sent) · 29 ก.ย. Present · 6 ต.ค. Leave</t>
        </is>
      </c>
      <c r="C9" s="8" t="inlineStr">
        <is>
          <t>—</t>
        </is>
      </c>
    </row>
    <row r="11">
      <c r="A11" t="inlineStr">
        <is>
          <t>หมายเหตุ</t>
        </is>
      </c>
      <c r="B11" t="inlineStr">
        <is>
          <t>ไม่ได้แตะข้อมูล Thong lo · ไม่ได้กด Send to accountant · ไม่ได้ส่ง LINE จริง · ควรลบ/ปิดข้อมูลเหล่านี้หลัง Dev ดูเสร็จ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2026-09-24T02:39:47Z</dcterms:created>
  <dcterms:modified xsi:type="dcterms:W3CDTF">2026-09-24T02:39:47Z</dcterms:modified>
</cp:coreProperties>
</file>